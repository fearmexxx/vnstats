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35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17" i="1" l="1"/>
  <c r="F116" i="1" l="1"/>
  <c r="G117" i="1" s="1"/>
  <c r="F115" i="1" l="1"/>
  <c r="G116" i="1" s="1"/>
  <c r="F114" i="1" l="1"/>
  <c r="G115" i="1" s="1"/>
  <c r="F113" i="1" l="1"/>
  <c r="G114" i="1" s="1"/>
  <c r="F112" i="1" l="1"/>
  <c r="G113" i="1" s="1"/>
  <c r="F111" i="1" l="1"/>
  <c r="G112" i="1" s="1"/>
  <c r="F110" i="1" l="1"/>
  <c r="H117" i="1" l="1"/>
  <c r="H116" i="1"/>
  <c r="H115" i="1"/>
  <c r="H114" i="1"/>
  <c r="H113" i="1"/>
  <c r="H112" i="1"/>
  <c r="H111" i="1"/>
  <c r="G111" i="1"/>
  <c r="F109" i="1"/>
  <c r="G110" i="1" s="1"/>
  <c r="F108" i="1" l="1"/>
  <c r="G109" i="1" s="1"/>
  <c r="F107" i="1" l="1"/>
  <c r="G108" i="1" s="1"/>
  <c r="F106" i="1" l="1"/>
  <c r="G107" i="1" s="1"/>
  <c r="F105" i="1" l="1"/>
  <c r="G106" i="1" s="1"/>
  <c r="F104" i="1" l="1"/>
  <c r="G105" i="1" s="1"/>
  <c r="F103" i="1" l="1"/>
  <c r="G104" i="1" s="1"/>
  <c r="F101" i="1" l="1"/>
  <c r="F102" i="1"/>
  <c r="G103" i="1" s="1"/>
  <c r="G102" i="1" l="1"/>
  <c r="F100" i="1"/>
  <c r="G101" i="1" s="1"/>
  <c r="F99" i="1"/>
  <c r="G100" i="1" l="1"/>
  <c r="F98" i="1"/>
  <c r="H109" i="1" l="1"/>
  <c r="H110" i="1"/>
  <c r="H108" i="1"/>
  <c r="H107" i="1"/>
  <c r="H106" i="1"/>
  <c r="H105" i="1"/>
  <c r="H104" i="1"/>
  <c r="H103" i="1"/>
  <c r="H101" i="1"/>
  <c r="H102" i="1"/>
  <c r="G98" i="1"/>
  <c r="H100" i="1"/>
  <c r="G99" i="1"/>
  <c r="H99" i="1"/>
  <c r="F97" i="1"/>
  <c r="F96" i="1" l="1"/>
  <c r="G97" i="1" s="1"/>
  <c r="F95" i="1" l="1"/>
  <c r="G96" i="1" s="1"/>
  <c r="F94" i="1" l="1"/>
  <c r="G95" i="1" s="1"/>
  <c r="F93" i="1" l="1"/>
  <c r="G94" i="1" s="1"/>
  <c r="F91" i="1" l="1"/>
  <c r="F92" i="1"/>
  <c r="G93" i="1" s="1"/>
  <c r="G92" i="1" l="1"/>
  <c r="F90" i="1"/>
  <c r="G91" i="1" s="1"/>
  <c r="F89" i="1" l="1"/>
  <c r="G90" i="1" s="1"/>
  <c r="F88" i="1" l="1"/>
  <c r="F87" i="1"/>
  <c r="G89" i="1" l="1"/>
  <c r="G88" i="1"/>
  <c r="F86" i="1"/>
  <c r="H98" i="1" l="1"/>
  <c r="H97" i="1"/>
  <c r="H96" i="1"/>
  <c r="H89" i="1"/>
  <c r="H95" i="1"/>
  <c r="H94" i="1"/>
  <c r="H93" i="1"/>
  <c r="H91" i="1"/>
  <c r="H92" i="1"/>
  <c r="H90" i="1"/>
  <c r="G87" i="1"/>
  <c r="H88" i="1"/>
  <c r="H87" i="1"/>
  <c r="F84" i="1"/>
  <c r="F85" i="1"/>
  <c r="G86" i="1" l="1"/>
  <c r="G85" i="1"/>
  <c r="F83" i="1"/>
  <c r="G84" i="1" s="1"/>
  <c r="F82" i="1" l="1"/>
  <c r="G83" i="1" s="1"/>
  <c r="F81" i="1" l="1"/>
  <c r="G82" i="1" s="1"/>
  <c r="F80" i="1" l="1"/>
  <c r="G81" i="1" s="1"/>
  <c r="F79" i="1" l="1"/>
  <c r="G80" i="1" s="1"/>
  <c r="F78" i="1"/>
  <c r="F77" i="1"/>
  <c r="F75" i="1"/>
  <c r="F76" i="1"/>
  <c r="F74" i="1"/>
  <c r="H76" i="1" s="1"/>
  <c r="H73" i="1"/>
  <c r="F72" i="1"/>
  <c r="F71" i="1"/>
  <c r="H71" i="1" s="1"/>
  <c r="H70" i="1"/>
  <c r="G70" i="1"/>
  <c r="H69" i="1"/>
  <c r="G69" i="1"/>
  <c r="H65" i="1"/>
  <c r="G68" i="1"/>
  <c r="H68" i="1"/>
  <c r="G67" i="1"/>
  <c r="H66" i="1"/>
  <c r="H67" i="1"/>
  <c r="G66" i="1"/>
  <c r="G65" i="1"/>
  <c r="G71" i="1" l="1"/>
  <c r="G75" i="1"/>
  <c r="G72" i="1"/>
  <c r="H77" i="1"/>
  <c r="H75" i="1"/>
  <c r="H78" i="1"/>
  <c r="G76" i="1"/>
  <c r="G77" i="1"/>
  <c r="G78" i="1"/>
  <c r="H72" i="1"/>
  <c r="H86" i="1"/>
  <c r="H84" i="1"/>
  <c r="H85" i="1"/>
  <c r="H83" i="1"/>
  <c r="H82" i="1"/>
  <c r="H81" i="1"/>
  <c r="G74" i="1"/>
  <c r="G73" i="1"/>
  <c r="H74" i="1"/>
  <c r="G79" i="1"/>
  <c r="H79" i="1"/>
  <c r="H80" i="1"/>
</calcChain>
</file>

<file path=xl/sharedStrings.xml><?xml version="1.0" encoding="utf-8"?>
<sst xmlns="http://schemas.openxmlformats.org/spreadsheetml/2006/main" count="165" uniqueCount="160">
  <si>
    <t>Thời gian</t>
  </si>
  <si>
    <t>Trong nước</t>
  </si>
  <si>
    <t>Nước ngoài</t>
  </si>
  <si>
    <t>Tổng cộng</t>
  </si>
  <si>
    <t>Cá nhân</t>
  </si>
  <si>
    <t>Tổ chức</t>
  </si>
  <si>
    <t>So với tháng trước</t>
  </si>
  <si>
    <t>So với năm trước</t>
  </si>
  <si>
    <t>31/12/2015</t>
  </si>
  <si>
    <t>1.486.644</t>
  </si>
  <si>
    <t>1.510.864</t>
  </si>
  <si>
    <t>31/7/2016</t>
  </si>
  <si>
    <t>1.602.557</t>
  </si>
  <si>
    <t>1.628.134</t>
  </si>
  <si>
    <t>7,8%</t>
  </si>
  <si>
    <t>31/8/2016</t>
  </si>
  <si>
    <t>1.616.767</t>
  </si>
  <si>
    <t>0,9%</t>
  </si>
  <si>
    <t>8,7%</t>
  </si>
  <si>
    <t>30/9/2016</t>
  </si>
  <si>
    <t>1.631.316</t>
  </si>
  <si>
    <t>1.657.346</t>
  </si>
  <si>
    <t>9,7%</t>
  </si>
  <si>
    <t>31/10/2016</t>
  </si>
  <si>
    <t>1.645.288</t>
  </si>
  <si>
    <t>1.671.556</t>
  </si>
  <si>
    <t>10,6%</t>
  </si>
  <si>
    <t>30/11/2016</t>
  </si>
  <si>
    <t xml:space="preserve">1.663.538 </t>
  </si>
  <si>
    <t>1,1%</t>
  </si>
  <si>
    <t>11,9%</t>
  </si>
  <si>
    <t>31/12/2016</t>
  </si>
  <si>
    <t xml:space="preserve">1.685.598 </t>
  </si>
  <si>
    <t xml:space="preserve">    1.712.389 </t>
  </si>
  <si>
    <t>1,3%</t>
  </si>
  <si>
    <t>13,3%</t>
  </si>
  <si>
    <t>31/1/2017</t>
  </si>
  <si>
    <t>1.696.766</t>
  </si>
  <si>
    <t>1.723.728</t>
  </si>
  <si>
    <t>0,7%</t>
  </si>
  <si>
    <t>28/2/2017</t>
  </si>
  <si>
    <t>1.713.590</t>
  </si>
  <si>
    <t>1.740.774</t>
  </si>
  <si>
    <t>1,0%</t>
  </si>
  <si>
    <t>1,66%</t>
  </si>
  <si>
    <t xml:space="preserve">   1.690.051 </t>
  </si>
  <si>
    <t>Tăng/giảm (%)</t>
  </si>
  <si>
    <t>31/3/2017</t>
  </si>
  <si>
    <t>30/4/2017</t>
  </si>
  <si>
    <t>31/5/2017</t>
  </si>
  <si>
    <t>30/6/2017</t>
  </si>
  <si>
    <t>31/7/2017</t>
  </si>
  <si>
    <t>SỐ LƯỢNG TÀI KHOẢN NHÀ ĐẦU TƯ</t>
  </si>
  <si>
    <t>31/8/2017</t>
  </si>
  <si>
    <t>29/9/2017</t>
  </si>
  <si>
    <t>31/10/2017</t>
  </si>
  <si>
    <t>30/11/2017</t>
  </si>
  <si>
    <t>29/12/2017</t>
  </si>
  <si>
    <t>31/01/2018</t>
  </si>
  <si>
    <t>Đơn vị tính: Tài khoản</t>
  </si>
  <si>
    <t>Nguồn: UBCKNN</t>
  </si>
  <si>
    <t>28/02/2018</t>
  </si>
  <si>
    <t>30/03/2018</t>
  </si>
  <si>
    <t>27/04/2018</t>
  </si>
  <si>
    <t>31/05/2018</t>
  </si>
  <si>
    <t>30/6/2018</t>
  </si>
  <si>
    <t>31/7/2018</t>
  </si>
  <si>
    <t>31/8/2018</t>
  </si>
  <si>
    <t>30/9/2018</t>
  </si>
  <si>
    <t>31/10/2018</t>
  </si>
  <si>
    <t>30/11/2018</t>
  </si>
  <si>
    <t>31/12/2018</t>
  </si>
  <si>
    <t>31/1/2019</t>
  </si>
  <si>
    <t>28/2/2019</t>
  </si>
  <si>
    <t>31/3/2019</t>
  </si>
  <si>
    <t>30/4/2019</t>
  </si>
  <si>
    <t>31/5/2019</t>
  </si>
  <si>
    <t>30/6/2019</t>
  </si>
  <si>
    <t>31/7/2019</t>
  </si>
  <si>
    <t>31/8/2019</t>
  </si>
  <si>
    <t>30/9/2019</t>
  </si>
  <si>
    <t>31/10/2019</t>
  </si>
  <si>
    <t>30/11/2019</t>
  </si>
  <si>
    <t>31/12/2019</t>
  </si>
  <si>
    <t>31/1/2020</t>
  </si>
  <si>
    <t>29/2/2020</t>
  </si>
  <si>
    <t>31/3/2020</t>
  </si>
  <si>
    <t>29/4/2020</t>
  </si>
  <si>
    <t>30/5/2020</t>
  </si>
  <si>
    <t>30/6/2020</t>
  </si>
  <si>
    <t>31/7/2020</t>
  </si>
  <si>
    <t>31/8/2020</t>
  </si>
  <si>
    <t>30/9/2020</t>
  </si>
  <si>
    <t>31/10/2020</t>
  </si>
  <si>
    <t>30/11/2020</t>
  </si>
  <si>
    <t>31/12/2020</t>
  </si>
  <si>
    <t>30/1/2021</t>
  </si>
  <si>
    <t>28/2/2021</t>
  </si>
  <si>
    <t>31/3/2021</t>
  </si>
  <si>
    <t>30/4/2021</t>
  </si>
  <si>
    <t>31/5/2021</t>
  </si>
  <si>
    <t>30/6/2021</t>
  </si>
  <si>
    <t>30/7/2021</t>
  </si>
  <si>
    <t>31/8/2021</t>
  </si>
  <si>
    <t>30/9/2021</t>
  </si>
  <si>
    <t>31/10/2021</t>
  </si>
  <si>
    <t>30/11/2021</t>
  </si>
  <si>
    <t>31/12/2021</t>
  </si>
  <si>
    <t>31/01/2022</t>
  </si>
  <si>
    <t>28/02/2022</t>
  </si>
  <si>
    <t>31/03/2022</t>
  </si>
  <si>
    <t>29/04/2022</t>
  </si>
  <si>
    <t>31/05/2022</t>
  </si>
  <si>
    <t>30/06/2022</t>
  </si>
  <si>
    <t>29/07/2022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</si>
  <si>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</si>
  <si>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</si>
  <si>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</si>
  <si>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</si>
  <si>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</si>
  <si>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</si>
  <si>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</si>
  <si>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</si>
  <si>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28/04/2023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</si>
  <si>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</si>
  <si>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</si>
  <si>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</si>
  <si>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</si>
  <si>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</si>
  <si>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</si>
  <si>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</si>
  <si>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</si>
  <si>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</si>
  <si>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</si>
  <si>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30/04/2024</t>
  </si>
  <si>
    <t>31/03/2024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</si>
  <si>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</si>
  <si>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</si>
  <si>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</si>
  <si>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</si>
  <si>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</si>
  <si>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</si>
  <si>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</si>
  <si>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</si>
  <si>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</si>
  <si>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</si>
  <si>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</si>
  <si>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</si>
  <si>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</si>
  <si>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</si>
  <si>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</si>
  <si>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</si>
  <si>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</si>
  <si>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</si>
  <si>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</si>
  <si>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</si>
  <si>
    <t>31/01/2026</t>
  </si>
  <si>
    <t>28/02/2026</t>
  </si>
  <si>
    <t>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</si>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</sst>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</numFmts>
  <fonts count="40">
    <font>
      <sz val="11"/>
      <color theme="1"/>
      <name val="Century Gothic"/>
      <family val="2"/>
      <scheme val="minor"/>
    </font>
    <font>
      <sz val="11"/>
      <color indexed="8"/>
      <name val="Century Gothic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entury Gothic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33333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indexed="63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Century Gothic"/>
      <family val="2"/>
      <charset val="163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Arial"/>
      <family val="2"/>
      <charset val="163"/>
    </font>
    <font>
      <sz val="11"/>
      <color indexed="8"/>
      <name val="Calibri"/>
      <family val="2"/>
    </font>
    <font>
      <sz val="11"/>
      <color indexed="8"/>
      <name val="Century Gothic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101010"/>
      <name val="Times New Roman"/>
      <family val="1"/>
    </font>
    <font>
      <sz val="11"/>
      <color rgb="FF101010"/>
      <name val="Helvetica Neue"/>
    </font>
    <font>
      <sz val="12"/>
      <name val="Times New Roman"/>
      <family val="1"/>
    </font>
    <font>
      <sz val="11"/>
      <color indexed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09">
    <xf numFmtId="0" fontId="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43" fontId="7" fillId="0" borderId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Alignment="0" applyProtection="0"/>
    <xf numFmtId="9" fontId="1" fillId="0" borderId="0" applyFont="0" applyAlignment="0" applyProtection="0"/>
    <xf numFmtId="0" fontId="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Alignment="0" applyProtection="0"/>
    <xf numFmtId="9" fontId="1" fillId="0" borderId="0" applyFont="0" applyAlignment="0" applyProtection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Alignment="0" applyProtection="0"/>
    <xf numFmtId="0" fontId="1" fillId="0" borderId="0"/>
    <xf numFmtId="0" fontId="7" fillId="0" borderId="0"/>
    <xf numFmtId="0" fontId="7" fillId="0" borderId="0"/>
    <xf numFmtId="165" fontId="1" fillId="0" borderId="0" applyFont="0" applyAlignment="0" applyProtection="0"/>
    <xf numFmtId="0" fontId="7" fillId="0" borderId="0"/>
    <xf numFmtId="43" fontId="7" fillId="0" borderId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Alignment="0" applyProtection="0"/>
    <xf numFmtId="9" fontId="1" fillId="0" borderId="0" applyFont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165" fontId="1" fillId="0" borderId="0" applyFont="0" applyAlignment="0" applyProtection="0"/>
    <xf numFmtId="9" fontId="1" fillId="0" borderId="0" applyFont="0" applyAlignment="0" applyProtection="0"/>
    <xf numFmtId="43" fontId="2" fillId="0" borderId="0" applyFont="0" applyFill="0" applyBorder="0" applyAlignment="0" applyProtection="0"/>
    <xf numFmtId="0" fontId="2" fillId="0" borderId="0"/>
    <xf numFmtId="0" fontId="7" fillId="0" borderId="0"/>
    <xf numFmtId="43" fontId="7" fillId="0" borderId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1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3" applyNumberFormat="0" applyFont="0" applyFill="0" applyAlignment="0" applyProtection="0"/>
    <xf numFmtId="0" fontId="2" fillId="0" borderId="3" applyNumberFormat="0" applyFont="0" applyFill="0" applyAlignment="0" applyProtection="0"/>
    <xf numFmtId="0" fontId="2" fillId="0" borderId="3" applyNumberFormat="0" applyFont="0" applyFill="0" applyAlignment="0" applyProtection="0"/>
    <xf numFmtId="0" fontId="2" fillId="0" borderId="3" applyNumberFormat="0" applyFont="0" applyFill="0" applyAlignment="0" applyProtection="0"/>
    <xf numFmtId="0" fontId="2" fillId="0" borderId="3" applyNumberFormat="0" applyFont="0" applyFill="0" applyAlignment="0" applyProtection="0"/>
    <xf numFmtId="0" fontId="2" fillId="0" borderId="3" applyNumberFormat="0" applyFont="0" applyFill="0" applyAlignment="0" applyProtection="0"/>
    <xf numFmtId="4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8" fillId="0" borderId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8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3" applyNumberFormat="0" applyFont="0" applyFill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1" fillId="0" borderId="0"/>
    <xf numFmtId="43" fontId="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3" applyNumberFormat="0" applyFont="0" applyFill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Alignment="0" applyProtection="0"/>
    <xf numFmtId="0" fontId="22" fillId="0" borderId="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Alignment="0" applyProtection="0"/>
    <xf numFmtId="0" fontId="22" fillId="0" borderId="0" applyNumberFormat="0" applyFill="0" applyAlignment="0" applyProtection="0"/>
    <xf numFmtId="0" fontId="22" fillId="0" borderId="0" applyNumberFormat="0" applyBorder="0" applyAlignment="0" applyProtection="0"/>
    <xf numFmtId="0" fontId="22" fillId="0" borderId="0" applyNumberFormat="0" applyFont="0" applyAlignment="0" applyProtection="0"/>
    <xf numFmtId="0" fontId="22" fillId="0" borderId="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3" fillId="0" borderId="0"/>
    <xf numFmtId="0" fontId="24" fillId="0" borderId="0"/>
    <xf numFmtId="0" fontId="25" fillId="0" borderId="0"/>
    <xf numFmtId="43" fontId="25" fillId="0" borderId="0" applyFont="0" applyFill="0" applyBorder="0" applyAlignment="0" applyProtection="0"/>
    <xf numFmtId="0" fontId="26" fillId="0" borderId="0"/>
    <xf numFmtId="0" fontId="27" fillId="0" borderId="0"/>
    <xf numFmtId="43" fontId="26" fillId="0" borderId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Alignment="0" applyProtection="0"/>
    <xf numFmtId="9" fontId="23" fillId="0" borderId="0" applyFont="0" applyAlignment="0" applyProtection="0"/>
    <xf numFmtId="0" fontId="27" fillId="0" borderId="0"/>
    <xf numFmtId="165" fontId="23" fillId="0" borderId="0" applyFont="0" applyAlignment="0" applyProtection="0"/>
    <xf numFmtId="43" fontId="22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110">
    <xf numFmtId="0" fontId="0" fillId="0" borderId="0" xfId="0"/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/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10" fontId="9" fillId="0" borderId="1" xfId="0" applyNumberFormat="1" applyFont="1" applyBorder="1" applyAlignment="1">
      <alignment horizontal="right" vertical="center" wrapText="1"/>
    </xf>
    <xf numFmtId="0" fontId="9" fillId="0" borderId="2" xfId="0" applyFont="1" applyFill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right" vertical="center" wrapText="1"/>
    </xf>
    <xf numFmtId="10" fontId="9" fillId="0" borderId="2" xfId="0" applyNumberFormat="1" applyFont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3" fontId="6" fillId="0" borderId="2" xfId="0" applyNumberFormat="1" applyFont="1" applyBorder="1"/>
    <xf numFmtId="10" fontId="6" fillId="0" borderId="2" xfId="0" applyNumberFormat="1" applyFont="1" applyBorder="1"/>
    <xf numFmtId="3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3" fontId="6" fillId="0" borderId="2" xfId="0" applyNumberFormat="1" applyFont="1" applyBorder="1" applyAlignment="1">
      <alignment horizontal="center"/>
    </xf>
    <xf numFmtId="10" fontId="5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3" fontId="6" fillId="0" borderId="2" xfId="120" applyNumberFormat="1" applyFont="1" applyFill="1" applyBorder="1" applyAlignment="1" applyProtection="1"/>
    <xf numFmtId="10" fontId="5" fillId="0" borderId="2" xfId="9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3" fontId="6" fillId="0" borderId="2" xfId="695" applyNumberFormat="1" applyFont="1" applyFill="1" applyBorder="1" applyAlignment="1" applyProtection="1"/>
    <xf numFmtId="0" fontId="5" fillId="0" borderId="2" xfId="0" applyFont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3" fontId="28" fillId="0" borderId="1" xfId="0" applyNumberFormat="1" applyFont="1" applyBorder="1" applyAlignment="1">
      <alignment horizontal="right" vertical="center" wrapText="1"/>
    </xf>
    <xf numFmtId="10" fontId="28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10" fontId="6" fillId="0" borderId="1" xfId="0" applyNumberFormat="1" applyFont="1" applyBorder="1" applyAlignment="1">
      <alignment horizontal="right" vertical="center" wrapText="1"/>
    </xf>
    <xf numFmtId="3" fontId="29" fillId="0" borderId="1" xfId="0" applyNumberFormat="1" applyFont="1" applyBorder="1" applyAlignment="1">
      <alignment horizontal="right" vertical="center" wrapText="1"/>
    </xf>
    <xf numFmtId="10" fontId="30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right" vertical="center" wrapText="1"/>
    </xf>
    <xf numFmtId="10" fontId="31" fillId="0" borderId="1" xfId="0" applyNumberFormat="1" applyFont="1" applyBorder="1" applyAlignment="1">
      <alignment horizontal="right" vertical="center" wrapText="1"/>
    </xf>
    <xf numFmtId="3" fontId="32" fillId="0" borderId="1" xfId="0" applyNumberFormat="1" applyFont="1" applyBorder="1" applyAlignment="1">
      <alignment horizontal="right" vertical="center" wrapText="1"/>
    </xf>
    <xf numFmtId="10" fontId="33" fillId="0" borderId="1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right" vertical="center" wrapText="1"/>
    </xf>
    <xf numFmtId="10" fontId="31" fillId="0" borderId="2" xfId="0" applyNumberFormat="1" applyFont="1" applyBorder="1" applyAlignment="1">
      <alignment horizontal="right" vertical="center" wrapText="1"/>
    </xf>
    <xf numFmtId="3" fontId="3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/>
    </xf>
    <xf numFmtId="10" fontId="35" fillId="0" borderId="1" xfId="0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vertical="center" wrapText="1"/>
    </xf>
    <xf numFmtId="10" fontId="9" fillId="0" borderId="1" xfId="9" applyNumberFormat="1" applyFont="1" applyBorder="1"/>
    <xf numFmtId="14" fontId="9" fillId="0" borderId="1" xfId="0" applyNumberFormat="1" applyFont="1" applyBorder="1" applyAlignment="1">
      <alignment horizontal="center"/>
    </xf>
    <xf numFmtId="164" fontId="9" fillId="0" borderId="1" xfId="708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/>
    <xf numFmtId="3" fontId="10" fillId="0" borderId="1" xfId="0" applyNumberFormat="1" applyFont="1" applyBorder="1" applyAlignment="1">
      <alignment horizontal="right" vertical="center" wrapText="1"/>
    </xf>
    <xf numFmtId="3" fontId="9" fillId="0" borderId="1" xfId="708" applyNumberFormat="1" applyFont="1" applyBorder="1"/>
    <xf numFmtId="3" fontId="36" fillId="0" borderId="1" xfId="708" applyNumberFormat="1" applyFont="1" applyBorder="1"/>
    <xf numFmtId="3" fontId="9" fillId="0" borderId="1" xfId="0" applyNumberFormat="1" applyFont="1" applyBorder="1"/>
    <xf numFmtId="3" fontId="9" fillId="0" borderId="1" xfId="0" applyNumberFormat="1" applyFont="1" applyBorder="1" applyAlignment="1">
      <alignment horizontal="right" wrapText="1"/>
    </xf>
    <xf numFmtId="3" fontId="10" fillId="0" borderId="1" xfId="0" applyNumberFormat="1" applyFont="1" applyBorder="1" applyAlignment="1">
      <alignment horizontal="right" wrapText="1"/>
    </xf>
    <xf numFmtId="164" fontId="9" fillId="0" borderId="0" xfId="708" applyNumberFormat="1" applyFont="1" applyAlignment="1">
      <alignment horizontal="center" vertical="center"/>
    </xf>
    <xf numFmtId="164" fontId="9" fillId="0" borderId="0" xfId="708" applyNumberFormat="1" applyFont="1"/>
    <xf numFmtId="164" fontId="13" fillId="2" borderId="1" xfId="708" applyNumberFormat="1" applyFont="1" applyFill="1" applyBorder="1" applyAlignment="1">
      <alignment horizontal="center" vertical="center" wrapText="1"/>
    </xf>
    <xf numFmtId="164" fontId="10" fillId="0" borderId="1" xfId="708" applyNumberFormat="1" applyFont="1" applyBorder="1" applyAlignment="1">
      <alignment horizontal="right" vertical="center" wrapText="1"/>
    </xf>
    <xf numFmtId="164" fontId="9" fillId="0" borderId="1" xfId="708" applyNumberFormat="1" applyFont="1" applyBorder="1" applyAlignment="1">
      <alignment horizontal="right" vertical="center" wrapText="1"/>
    </xf>
    <xf numFmtId="164" fontId="9" fillId="0" borderId="2" xfId="708" applyNumberFormat="1" applyFont="1" applyBorder="1" applyAlignment="1">
      <alignment horizontal="right" vertical="center" wrapText="1"/>
    </xf>
    <xf numFmtId="164" fontId="6" fillId="0" borderId="2" xfId="708" applyNumberFormat="1" applyFont="1" applyBorder="1"/>
    <xf numFmtId="164" fontId="5" fillId="0" borderId="1" xfId="708" applyNumberFormat="1" applyFont="1" applyBorder="1" applyAlignment="1">
      <alignment vertical="center" wrapText="1"/>
    </xf>
    <xf numFmtId="164" fontId="8" fillId="0" borderId="2" xfId="708" applyNumberFormat="1" applyFont="1" applyBorder="1" applyAlignment="1">
      <alignment horizontal="right" vertical="center" wrapText="1"/>
    </xf>
    <xf numFmtId="164" fontId="8" fillId="0" borderId="1" xfId="708" applyNumberFormat="1" applyFont="1" applyBorder="1" applyAlignment="1">
      <alignment horizontal="right" vertical="center" wrapText="1"/>
    </xf>
    <xf numFmtId="164" fontId="12" fillId="0" borderId="2" xfId="708" applyNumberFormat="1" applyFont="1" applyFill="1" applyBorder="1" applyAlignment="1" applyProtection="1">
      <alignment horizontal="right" vertical="top" wrapText="1"/>
    </xf>
    <xf numFmtId="164" fontId="5" fillId="0" borderId="1" xfId="708" applyNumberFormat="1" applyFont="1" applyBorder="1" applyAlignment="1">
      <alignment horizontal="right" vertical="center" wrapText="1"/>
    </xf>
    <xf numFmtId="164" fontId="28" fillId="0" borderId="1" xfId="708" applyNumberFormat="1" applyFont="1" applyBorder="1" applyAlignment="1">
      <alignment horizontal="right" vertical="center" wrapText="1"/>
    </xf>
    <xf numFmtId="164" fontId="3" fillId="0" borderId="1" xfId="708" applyNumberFormat="1" applyFont="1" applyBorder="1" applyAlignment="1">
      <alignment horizontal="right" vertical="center" wrapText="1"/>
    </xf>
    <xf numFmtId="164" fontId="29" fillId="0" borderId="1" xfId="708" applyNumberFormat="1" applyFont="1" applyBorder="1" applyAlignment="1">
      <alignment horizontal="right" vertical="center" wrapText="1"/>
    </xf>
    <xf numFmtId="164" fontId="6" fillId="0" borderId="1" xfId="708" applyNumberFormat="1" applyFont="1" applyBorder="1" applyAlignment="1">
      <alignment horizontal="right" vertical="center" wrapText="1"/>
    </xf>
    <xf numFmtId="164" fontId="6" fillId="0" borderId="2" xfId="708" applyNumberFormat="1" applyFont="1" applyBorder="1" applyAlignment="1">
      <alignment horizontal="right" vertical="center" wrapText="1"/>
    </xf>
    <xf numFmtId="164" fontId="34" fillId="0" borderId="1" xfId="708" applyNumberFormat="1" applyFont="1" applyBorder="1" applyAlignment="1">
      <alignment horizontal="right" vertical="center" wrapText="1"/>
    </xf>
    <xf numFmtId="164" fontId="5" fillId="0" borderId="2" xfId="708" applyNumberFormat="1" applyFont="1" applyBorder="1" applyAlignment="1">
      <alignment horizontal="right" vertical="center" wrapText="1"/>
    </xf>
    <xf numFmtId="164" fontId="9" fillId="0" borderId="1" xfId="708" applyNumberFormat="1" applyFont="1" applyBorder="1"/>
    <xf numFmtId="164" fontId="36" fillId="0" borderId="1" xfId="708" applyNumberFormat="1" applyFont="1" applyBorder="1"/>
    <xf numFmtId="164" fontId="37" fillId="0" borderId="1" xfId="708" applyNumberFormat="1" applyFont="1" applyBorder="1"/>
    <xf numFmtId="164" fontId="9" fillId="0" borderId="2" xfId="708" applyNumberFormat="1" applyFont="1" applyBorder="1"/>
    <xf numFmtId="164" fontId="37" fillId="8" borderId="1" xfId="708" applyNumberFormat="1" applyFont="1" applyFill="1" applyBorder="1" applyAlignment="1">
      <alignment horizontal="right" vertical="center" wrapText="1"/>
    </xf>
    <xf numFmtId="164" fontId="38" fillId="0" borderId="1" xfId="708" applyNumberFormat="1" applyFont="1" applyBorder="1"/>
    <xf numFmtId="164" fontId="10" fillId="0" borderId="1" xfId="708" applyNumberFormat="1" applyFont="1" applyBorder="1"/>
    <xf numFmtId="164" fontId="6" fillId="0" borderId="1" xfId="708" applyNumberFormat="1" applyFont="1" applyFill="1" applyBorder="1" applyAlignment="1" applyProtection="1"/>
    <xf numFmtId="164" fontId="6" fillId="9" borderId="5" xfId="708" applyNumberFormat="1" applyFont="1" applyFill="1" applyBorder="1" applyAlignment="1" applyProtection="1"/>
    <xf numFmtId="164" fontId="39" fillId="9" borderId="6" xfId="708" applyNumberFormat="1" applyFont="1" applyFill="1" applyBorder="1" applyAlignment="1" applyProtection="1"/>
    <xf numFmtId="164" fontId="39" fillId="9" borderId="1" xfId="708" applyNumberFormat="1" applyFont="1" applyFill="1" applyBorder="1" applyAlignment="1" applyProtection="1"/>
    <xf numFmtId="164" fontId="5" fillId="0" borderId="0" xfId="708" applyNumberFormat="1" applyFont="1"/>
    <xf numFmtId="10" fontId="9" fillId="0" borderId="1" xfId="0" applyNumberFormat="1" applyFont="1" applyBorder="1"/>
    <xf numFmtId="164" fontId="9" fillId="0" borderId="0" xfId="0" applyNumberFormat="1" applyFont="1"/>
    <xf numFmtId="0" fontId="10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</cellXfs>
  <cellStyles count="709">
    <cellStyle name="20% - Accent1 2" xfId="625"/>
    <cellStyle name="20% - Accent2 2" xfId="626"/>
    <cellStyle name="20% - Accent3 2" xfId="627"/>
    <cellStyle name="20% - Accent4 2" xfId="628"/>
    <cellStyle name="20% - Accent5 2" xfId="629"/>
    <cellStyle name="20% - Accent6 2" xfId="630"/>
    <cellStyle name="40% - Accent1 2" xfId="631"/>
    <cellStyle name="40% - Accent2 2" xfId="632"/>
    <cellStyle name="40% - Accent3 2" xfId="633"/>
    <cellStyle name="40% - Accent4 2" xfId="634"/>
    <cellStyle name="40% - Accent5 2" xfId="635"/>
    <cellStyle name="40% - Accent6 2" xfId="636"/>
    <cellStyle name="60% - Accent1 2" xfId="637"/>
    <cellStyle name="60% - Accent2 2" xfId="638"/>
    <cellStyle name="60% - Accent3 2" xfId="639"/>
    <cellStyle name="60% - Accent4 2" xfId="640"/>
    <cellStyle name="60% - Accent5 2" xfId="641"/>
    <cellStyle name="60% - Accent6 2" xfId="642"/>
    <cellStyle name="Accent1 2" xfId="643"/>
    <cellStyle name="Accent2 2" xfId="644"/>
    <cellStyle name="Accent3 2" xfId="645"/>
    <cellStyle name="Accent4 2" xfId="646"/>
    <cellStyle name="Accent5 2" xfId="647"/>
    <cellStyle name="Accent6 2" xfId="648"/>
    <cellStyle name="Bad 2" xfId="649"/>
    <cellStyle name="Calculation 2" xfId="650"/>
    <cellStyle name="Check Cell 2" xfId="651"/>
    <cellStyle name="Comma" xfId="708" builtinId="3"/>
    <cellStyle name="Comma 10" xfId="112"/>
    <cellStyle name="Comma 10 2" xfId="128"/>
    <cellStyle name="Comma 11" xfId="116"/>
    <cellStyle name="Comma 11 2" xfId="129"/>
    <cellStyle name="Comma 12" xfId="118"/>
    <cellStyle name="Comma 12 2" xfId="130"/>
    <cellStyle name="Comma 13" xfId="126"/>
    <cellStyle name="Comma 13 2" xfId="305"/>
    <cellStyle name="Comma 14" xfId="415"/>
    <cellStyle name="Comma 15" xfId="694"/>
    <cellStyle name="Comma 16" xfId="702"/>
    <cellStyle name="Comma 17" xfId="705"/>
    <cellStyle name="Comma 18" xfId="706"/>
    <cellStyle name="Comma 2" xfId="3"/>
    <cellStyle name="Comma 2 2" xfId="13"/>
    <cellStyle name="Comma 2 2 2" xfId="131"/>
    <cellStyle name="Comma 2 3" xfId="26"/>
    <cellStyle name="Comma 2 3 2" xfId="75"/>
    <cellStyle name="Comma 2 4" xfId="54"/>
    <cellStyle name="Comma 2 5" xfId="104"/>
    <cellStyle name="Comma 2 6" xfId="121"/>
    <cellStyle name="Comma 2 7" xfId="697"/>
    <cellStyle name="Comma 3" xfId="6"/>
    <cellStyle name="Comma 3 2" xfId="57"/>
    <cellStyle name="Comma 3 3" xfId="69"/>
    <cellStyle name="Comma 3 4" xfId="67"/>
    <cellStyle name="Comma 4" xfId="8"/>
    <cellStyle name="Comma 4 2" xfId="132"/>
    <cellStyle name="Comma 5" xfId="18"/>
    <cellStyle name="Comma 5 2" xfId="65"/>
    <cellStyle name="Comma 5 3" xfId="133"/>
    <cellStyle name="Comma 6" xfId="52"/>
    <cellStyle name="Comma 6 2" xfId="135"/>
    <cellStyle name="Comma 6 3" xfId="134"/>
    <cellStyle name="Comma 7" xfId="98"/>
    <cellStyle name="Comma 7 2" xfId="137"/>
    <cellStyle name="Comma 7 2 2" xfId="138"/>
    <cellStyle name="Comma 7 2 2 2" xfId="306"/>
    <cellStyle name="Comma 7 2 2 2 2" xfId="517"/>
    <cellStyle name="Comma 7 2 2 3" xfId="418"/>
    <cellStyle name="Comma 7 2 3" xfId="307"/>
    <cellStyle name="Comma 7 2 3 2" xfId="518"/>
    <cellStyle name="Comma 7 2 4" xfId="417"/>
    <cellStyle name="Comma 7 3" xfId="139"/>
    <cellStyle name="Comma 7 3 2" xfId="308"/>
    <cellStyle name="Comma 7 3 2 2" xfId="519"/>
    <cellStyle name="Comma 7 3 3" xfId="419"/>
    <cellStyle name="Comma 7 4" xfId="309"/>
    <cellStyle name="Comma 7 4 2" xfId="520"/>
    <cellStyle name="Comma 7 5" xfId="416"/>
    <cellStyle name="Comma 7 6" xfId="136"/>
    <cellStyle name="Comma 8" xfId="102"/>
    <cellStyle name="Comma 8 2" xfId="140"/>
    <cellStyle name="Comma 9" xfId="109"/>
    <cellStyle name="Comma 9 2" xfId="141"/>
    <cellStyle name="Comma0" xfId="142"/>
    <cellStyle name="Comma0 2" xfId="143"/>
    <cellStyle name="Currency0" xfId="144"/>
    <cellStyle name="Currency0 2" xfId="145"/>
    <cellStyle name="Date" xfId="146"/>
    <cellStyle name="Date 2" xfId="147"/>
    <cellStyle name="Explanatory Text 2" xfId="652"/>
    <cellStyle name="Fixed" xfId="148"/>
    <cellStyle name="Fixed 2" xfId="149"/>
    <cellStyle name="Good 2" xfId="653"/>
    <cellStyle name="Heading 1 10" xfId="654"/>
    <cellStyle name="Heading 1 2" xfId="151"/>
    <cellStyle name="Heading 1 3" xfId="152"/>
    <cellStyle name="Heading 1 4" xfId="153"/>
    <cellStyle name="Heading 1 5" xfId="154"/>
    <cellStyle name="Heading 1 6" xfId="155"/>
    <cellStyle name="Heading 1 7" xfId="310"/>
    <cellStyle name="Heading 1 8" xfId="420"/>
    <cellStyle name="Heading 1 9" xfId="150"/>
    <cellStyle name="Heading 2 10" xfId="655"/>
    <cellStyle name="Heading 2 2" xfId="157"/>
    <cellStyle name="Heading 2 3" xfId="158"/>
    <cellStyle name="Heading 2 4" xfId="159"/>
    <cellStyle name="Heading 2 5" xfId="160"/>
    <cellStyle name="Heading 2 6" xfId="161"/>
    <cellStyle name="Heading 2 7" xfId="311"/>
    <cellStyle name="Heading 2 8" xfId="421"/>
    <cellStyle name="Heading 2 9" xfId="156"/>
    <cellStyle name="Heading 3 2" xfId="656"/>
    <cellStyle name="Heading 4 2" xfId="657"/>
    <cellStyle name="Input 2" xfId="658"/>
    <cellStyle name="Linked Cell 2" xfId="659"/>
    <cellStyle name="Neutral 2" xfId="660"/>
    <cellStyle name="Normal" xfId="0" builtinId="0"/>
    <cellStyle name="Normal 10" xfId="34"/>
    <cellStyle name="Normal 10 2" xfId="83"/>
    <cellStyle name="Normal 10 2 2" xfId="162"/>
    <cellStyle name="Normal 10 2 3" xfId="707"/>
    <cellStyle name="Normal 10 3" xfId="671"/>
    <cellStyle name="Normal 11" xfId="35"/>
    <cellStyle name="Normal 11 2" xfId="84"/>
    <cellStyle name="Normal 11 2 2" xfId="163"/>
    <cellStyle name="Normal 11 3" xfId="672"/>
    <cellStyle name="Normal 12" xfId="36"/>
    <cellStyle name="Normal 12 2" xfId="85"/>
    <cellStyle name="Normal 12 2 2" xfId="164"/>
    <cellStyle name="Normal 12 3" xfId="673"/>
    <cellStyle name="Normal 13" xfId="37"/>
    <cellStyle name="Normal 13 2" xfId="86"/>
    <cellStyle name="Normal 13 2 2" xfId="165"/>
    <cellStyle name="Normal 13 3" xfId="674"/>
    <cellStyle name="Normal 14" xfId="38"/>
    <cellStyle name="Normal 14 2" xfId="87"/>
    <cellStyle name="Normal 14 2 2" xfId="166"/>
    <cellStyle name="Normal 14 3" xfId="675"/>
    <cellStyle name="Normal 15" xfId="39"/>
    <cellStyle name="Normal 15 2" xfId="88"/>
    <cellStyle name="Normal 15 2 2" xfId="167"/>
    <cellStyle name="Normal 15 3" xfId="676"/>
    <cellStyle name="Normal 16" xfId="40"/>
    <cellStyle name="Normal 16 2" xfId="89"/>
    <cellStyle name="Normal 16 2 2" xfId="168"/>
    <cellStyle name="Normal 16 3" xfId="677"/>
    <cellStyle name="Normal 17" xfId="41"/>
    <cellStyle name="Normal 17 2" xfId="90"/>
    <cellStyle name="Normal 17 2 2" xfId="169"/>
    <cellStyle name="Normal 17 3" xfId="678"/>
    <cellStyle name="Normal 18" xfId="42"/>
    <cellStyle name="Normal 18 2" xfId="91"/>
    <cellStyle name="Normal 18 2 2" xfId="170"/>
    <cellStyle name="Normal 18 3" xfId="679"/>
    <cellStyle name="Normal 19" xfId="43"/>
    <cellStyle name="Normal 19 2" xfId="92"/>
    <cellStyle name="Normal 19 2 2" xfId="171"/>
    <cellStyle name="Normal 19 3" xfId="680"/>
    <cellStyle name="Normal 2" xfId="1"/>
    <cellStyle name="Normal 2 10" xfId="695"/>
    <cellStyle name="Normal 2 11" xfId="704"/>
    <cellStyle name="Normal 2 2" xfId="7"/>
    <cellStyle name="Normal 2 2 2" xfId="14"/>
    <cellStyle name="Normal 2 2 2 2" xfId="27"/>
    <cellStyle name="Normal 2 2 2 2 2" xfId="76"/>
    <cellStyle name="Normal 2 2 2 3" xfId="61"/>
    <cellStyle name="Normal 2 2 3" xfId="24"/>
    <cellStyle name="Normal 2 2 3 2" xfId="73"/>
    <cellStyle name="Normal 2 2 4" xfId="58"/>
    <cellStyle name="Normal 2 2 5" xfId="105"/>
    <cellStyle name="Normal 2 2 5 2" xfId="173"/>
    <cellStyle name="Normal 2 2 6" xfId="122"/>
    <cellStyle name="Normal 2 2 7" xfId="698"/>
    <cellStyle name="Normal 2 3" xfId="11"/>
    <cellStyle name="Normal 2 4" xfId="22"/>
    <cellStyle name="Normal 2 4 2" xfId="71"/>
    <cellStyle name="Normal 2 5" xfId="51"/>
    <cellStyle name="Normal 2 6" xfId="101"/>
    <cellStyle name="Normal 2 6 2" xfId="688"/>
    <cellStyle name="Normal 2 6 3" xfId="172"/>
    <cellStyle name="Normal 2 7" xfId="103"/>
    <cellStyle name="Normal 2 7 2" xfId="692"/>
    <cellStyle name="Normal 2 8" xfId="115"/>
    <cellStyle name="Normal 2 9" xfId="120"/>
    <cellStyle name="Normal 20" xfId="44"/>
    <cellStyle name="Normal 20 2" xfId="93"/>
    <cellStyle name="Normal 20 2 2" xfId="174"/>
    <cellStyle name="Normal 20 3" xfId="681"/>
    <cellStyle name="Normal 21" xfId="45"/>
    <cellStyle name="Normal 21 2" xfId="94"/>
    <cellStyle name="Normal 21 2 2" xfId="175"/>
    <cellStyle name="Normal 21 3" xfId="682"/>
    <cellStyle name="Normal 22" xfId="46"/>
    <cellStyle name="Normal 22 2" xfId="95"/>
    <cellStyle name="Normal 22 2 2" xfId="176"/>
    <cellStyle name="Normal 22 3" xfId="683"/>
    <cellStyle name="Normal 23" xfId="47"/>
    <cellStyle name="Normal 23 2" xfId="96"/>
    <cellStyle name="Normal 23 2 2" xfId="179"/>
    <cellStyle name="Normal 23 2 2 2" xfId="304"/>
    <cellStyle name="Normal 23 2 2 2 2" xfId="516"/>
    <cellStyle name="Normal 23 2 2 3" xfId="424"/>
    <cellStyle name="Normal 23 2 3" xfId="312"/>
    <cellStyle name="Normal 23 2 3 2" xfId="521"/>
    <cellStyle name="Normal 23 2 4" xfId="423"/>
    <cellStyle name="Normal 23 2 5" xfId="178"/>
    <cellStyle name="Normal 23 3" xfId="180"/>
    <cellStyle name="Normal 23 3 2" xfId="313"/>
    <cellStyle name="Normal 23 3 2 2" xfId="522"/>
    <cellStyle name="Normal 23 3 3" xfId="425"/>
    <cellStyle name="Normal 23 4" xfId="314"/>
    <cellStyle name="Normal 23 4 2" xfId="523"/>
    <cellStyle name="Normal 23 5" xfId="422"/>
    <cellStyle name="Normal 23 6" xfId="177"/>
    <cellStyle name="Normal 23 7" xfId="684"/>
    <cellStyle name="Normal 24" xfId="48"/>
    <cellStyle name="Normal 24 2" xfId="97"/>
    <cellStyle name="Normal 24 2 2" xfId="183"/>
    <cellStyle name="Normal 24 2 2 2" xfId="315"/>
    <cellStyle name="Normal 24 2 2 2 2" xfId="524"/>
    <cellStyle name="Normal 24 2 2 3" xfId="428"/>
    <cellStyle name="Normal 24 2 3" xfId="316"/>
    <cellStyle name="Normal 24 2 3 2" xfId="525"/>
    <cellStyle name="Normal 24 2 4" xfId="427"/>
    <cellStyle name="Normal 24 2 5" xfId="182"/>
    <cellStyle name="Normal 24 3" xfId="184"/>
    <cellStyle name="Normal 24 3 2" xfId="317"/>
    <cellStyle name="Normal 24 3 2 2" xfId="526"/>
    <cellStyle name="Normal 24 3 3" xfId="429"/>
    <cellStyle name="Normal 24 4" xfId="318"/>
    <cellStyle name="Normal 24 4 2" xfId="527"/>
    <cellStyle name="Normal 24 5" xfId="426"/>
    <cellStyle name="Normal 24 6" xfId="181"/>
    <cellStyle name="Normal 24 7" xfId="685"/>
    <cellStyle name="Normal 25" xfId="25"/>
    <cellStyle name="Normal 25 2" xfId="74"/>
    <cellStyle name="Normal 25 2 2" xfId="187"/>
    <cellStyle name="Normal 25 2 2 2" xfId="319"/>
    <cellStyle name="Normal 25 2 2 2 2" xfId="528"/>
    <cellStyle name="Normal 25 2 2 3" xfId="432"/>
    <cellStyle name="Normal 25 2 3" xfId="320"/>
    <cellStyle name="Normal 25 2 3 2" xfId="529"/>
    <cellStyle name="Normal 25 2 4" xfId="431"/>
    <cellStyle name="Normal 25 2 5" xfId="186"/>
    <cellStyle name="Normal 25 3" xfId="188"/>
    <cellStyle name="Normal 25 3 2" xfId="321"/>
    <cellStyle name="Normal 25 3 2 2" xfId="530"/>
    <cellStyle name="Normal 25 3 3" xfId="433"/>
    <cellStyle name="Normal 25 4" xfId="322"/>
    <cellStyle name="Normal 25 4 2" xfId="531"/>
    <cellStyle name="Normal 25 5" xfId="430"/>
    <cellStyle name="Normal 25 6" xfId="185"/>
    <cellStyle name="Normal 25 7" xfId="667"/>
    <cellStyle name="Normal 26" xfId="21"/>
    <cellStyle name="Normal 26 2" xfId="70"/>
    <cellStyle name="Normal 26 2 2" xfId="191"/>
    <cellStyle name="Normal 26 2 2 2" xfId="323"/>
    <cellStyle name="Normal 26 2 2 2 2" xfId="532"/>
    <cellStyle name="Normal 26 2 2 3" xfId="436"/>
    <cellStyle name="Normal 26 2 3" xfId="324"/>
    <cellStyle name="Normal 26 2 3 2" xfId="533"/>
    <cellStyle name="Normal 26 2 4" xfId="435"/>
    <cellStyle name="Normal 26 2 5" xfId="190"/>
    <cellStyle name="Normal 26 3" xfId="192"/>
    <cellStyle name="Normal 26 3 2" xfId="325"/>
    <cellStyle name="Normal 26 3 2 2" xfId="534"/>
    <cellStyle name="Normal 26 3 3" xfId="437"/>
    <cellStyle name="Normal 26 4" xfId="326"/>
    <cellStyle name="Normal 26 4 2" xfId="535"/>
    <cellStyle name="Normal 26 5" xfId="434"/>
    <cellStyle name="Normal 26 6" xfId="189"/>
    <cellStyle name="Normal 26 7" xfId="666"/>
    <cellStyle name="Normal 27" xfId="49"/>
    <cellStyle name="Normal 27 2" xfId="193"/>
    <cellStyle name="Normal 28" xfId="99"/>
    <cellStyle name="Normal 28 2" xfId="195"/>
    <cellStyle name="Normal 28 2 2" xfId="327"/>
    <cellStyle name="Normal 28 2 2 2" xfId="536"/>
    <cellStyle name="Normal 28 2 3" xfId="439"/>
    <cellStyle name="Normal 28 3" xfId="328"/>
    <cellStyle name="Normal 28 3 2" xfId="537"/>
    <cellStyle name="Normal 28 4" xfId="438"/>
    <cellStyle name="Normal 28 5" xfId="687"/>
    <cellStyle name="Normal 28 6" xfId="194"/>
    <cellStyle name="Normal 29" xfId="111"/>
    <cellStyle name="Normal 29 2" xfId="197"/>
    <cellStyle name="Normal 29 2 2" xfId="329"/>
    <cellStyle name="Normal 29 2 2 2" xfId="538"/>
    <cellStyle name="Normal 29 2 3" xfId="441"/>
    <cellStyle name="Normal 29 3" xfId="330"/>
    <cellStyle name="Normal 29 3 2" xfId="539"/>
    <cellStyle name="Normal 29 4" xfId="440"/>
    <cellStyle name="Normal 29 5" xfId="690"/>
    <cellStyle name="Normal 29 6" xfId="196"/>
    <cellStyle name="Normal 3" xfId="2"/>
    <cellStyle name="Normal 3 2" xfId="15"/>
    <cellStyle name="Normal 3 2 2" xfId="62"/>
    <cellStyle name="Normal 3 3" xfId="23"/>
    <cellStyle name="Normal 3 3 2" xfId="72"/>
    <cellStyle name="Normal 3 4" xfId="53"/>
    <cellStyle name="Normal 3 5" xfId="68"/>
    <cellStyle name="Normal 3 5 2" xfId="689"/>
    <cellStyle name="Normal 3 6" xfId="106"/>
    <cellStyle name="Normal 3 6 2" xfId="198"/>
    <cellStyle name="Normal 3 7" xfId="123"/>
    <cellStyle name="Normal 3 8" xfId="699"/>
    <cellStyle name="Normal 30" xfId="113"/>
    <cellStyle name="Normal 30 2" xfId="200"/>
    <cellStyle name="Normal 30 2 2" xfId="331"/>
    <cellStyle name="Normal 30 2 2 2" xfId="540"/>
    <cellStyle name="Normal 30 2 3" xfId="443"/>
    <cellStyle name="Normal 30 3" xfId="332"/>
    <cellStyle name="Normal 30 3 2" xfId="541"/>
    <cellStyle name="Normal 30 4" xfId="442"/>
    <cellStyle name="Normal 30 5" xfId="199"/>
    <cellStyle name="Normal 31" xfId="119"/>
    <cellStyle name="Normal 31 2" xfId="202"/>
    <cellStyle name="Normal 31 2 2" xfId="333"/>
    <cellStyle name="Normal 31 2 2 2" xfId="542"/>
    <cellStyle name="Normal 31 2 3" xfId="445"/>
    <cellStyle name="Normal 31 3" xfId="334"/>
    <cellStyle name="Normal 31 3 2" xfId="543"/>
    <cellStyle name="Normal 31 4" xfId="444"/>
    <cellStyle name="Normal 31 5" xfId="201"/>
    <cellStyle name="Normal 32" xfId="203"/>
    <cellStyle name="Normal 32 2" xfId="204"/>
    <cellStyle name="Normal 32 2 2" xfId="335"/>
    <cellStyle name="Normal 32 2 2 2" xfId="544"/>
    <cellStyle name="Normal 32 2 3" xfId="447"/>
    <cellStyle name="Normal 32 3" xfId="336"/>
    <cellStyle name="Normal 32 3 2" xfId="545"/>
    <cellStyle name="Normal 32 4" xfId="446"/>
    <cellStyle name="Normal 33" xfId="205"/>
    <cellStyle name="Normal 33 2" xfId="206"/>
    <cellStyle name="Normal 33 2 2" xfId="337"/>
    <cellStyle name="Normal 33 2 2 2" xfId="546"/>
    <cellStyle name="Normal 33 2 3" xfId="449"/>
    <cellStyle name="Normal 33 3" xfId="338"/>
    <cellStyle name="Normal 33 3 2" xfId="547"/>
    <cellStyle name="Normal 33 4" xfId="448"/>
    <cellStyle name="Normal 34" xfId="207"/>
    <cellStyle name="Normal 34 2" xfId="208"/>
    <cellStyle name="Normal 34 2 2" xfId="339"/>
    <cellStyle name="Normal 34 2 2 2" xfId="548"/>
    <cellStyle name="Normal 34 2 3" xfId="451"/>
    <cellStyle name="Normal 34 3" xfId="340"/>
    <cellStyle name="Normal 34 3 2" xfId="549"/>
    <cellStyle name="Normal 34 4" xfId="450"/>
    <cellStyle name="Normal 35" xfId="209"/>
    <cellStyle name="Normal 35 2" xfId="210"/>
    <cellStyle name="Normal 35 2 2" xfId="341"/>
    <cellStyle name="Normal 35 2 2 2" xfId="550"/>
    <cellStyle name="Normal 35 2 3" xfId="453"/>
    <cellStyle name="Normal 35 3" xfId="342"/>
    <cellStyle name="Normal 35 3 2" xfId="551"/>
    <cellStyle name="Normal 35 4" xfId="452"/>
    <cellStyle name="Normal 36" xfId="211"/>
    <cellStyle name="Normal 36 2" xfId="212"/>
    <cellStyle name="Normal 36 2 2" xfId="343"/>
    <cellStyle name="Normal 36 2 2 2" xfId="552"/>
    <cellStyle name="Normal 36 2 3" xfId="455"/>
    <cellStyle name="Normal 36 3" xfId="344"/>
    <cellStyle name="Normal 36 3 2" xfId="553"/>
    <cellStyle name="Normal 36 4" xfId="454"/>
    <cellStyle name="Normal 37" xfId="213"/>
    <cellStyle name="Normal 37 2" xfId="214"/>
    <cellStyle name="Normal 37 2 2" xfId="345"/>
    <cellStyle name="Normal 37 2 2 2" xfId="554"/>
    <cellStyle name="Normal 37 2 3" xfId="457"/>
    <cellStyle name="Normal 37 3" xfId="346"/>
    <cellStyle name="Normal 37 3 2" xfId="555"/>
    <cellStyle name="Normal 37 4" xfId="456"/>
    <cellStyle name="Normal 38" xfId="215"/>
    <cellStyle name="Normal 38 2" xfId="216"/>
    <cellStyle name="Normal 38 2 2" xfId="347"/>
    <cellStyle name="Normal 38 2 2 2" xfId="556"/>
    <cellStyle name="Normal 38 2 3" xfId="459"/>
    <cellStyle name="Normal 38 3" xfId="348"/>
    <cellStyle name="Normal 38 3 2" xfId="557"/>
    <cellStyle name="Normal 38 4" xfId="458"/>
    <cellStyle name="Normal 39" xfId="217"/>
    <cellStyle name="Normal 39 2" xfId="218"/>
    <cellStyle name="Normal 39 2 2" xfId="349"/>
    <cellStyle name="Normal 39 2 2 2" xfId="558"/>
    <cellStyle name="Normal 39 2 3" xfId="461"/>
    <cellStyle name="Normal 39 3" xfId="350"/>
    <cellStyle name="Normal 39 3 2" xfId="559"/>
    <cellStyle name="Normal 39 4" xfId="460"/>
    <cellStyle name="Normal 4" xfId="5"/>
    <cellStyle name="Normal 4 2" xfId="16"/>
    <cellStyle name="Normal 4 2 2" xfId="63"/>
    <cellStyle name="Normal 4 3" xfId="28"/>
    <cellStyle name="Normal 4 3 2" xfId="77"/>
    <cellStyle name="Normal 4 4" xfId="56"/>
    <cellStyle name="Normal 4 5" xfId="107"/>
    <cellStyle name="Normal 4 5 2" xfId="219"/>
    <cellStyle name="Normal 4 6" xfId="124"/>
    <cellStyle name="Normal 4 7" xfId="700"/>
    <cellStyle name="Normal 40" xfId="220"/>
    <cellStyle name="Normal 40 2" xfId="221"/>
    <cellStyle name="Normal 40 2 2" xfId="351"/>
    <cellStyle name="Normal 40 2 2 2" xfId="560"/>
    <cellStyle name="Normal 40 2 3" xfId="463"/>
    <cellStyle name="Normal 40 3" xfId="352"/>
    <cellStyle name="Normal 40 3 2" xfId="561"/>
    <cellStyle name="Normal 40 4" xfId="462"/>
    <cellStyle name="Normal 41" xfId="222"/>
    <cellStyle name="Normal 41 2" xfId="223"/>
    <cellStyle name="Normal 41 2 2" xfId="353"/>
    <cellStyle name="Normal 41 2 2 2" xfId="562"/>
    <cellStyle name="Normal 41 2 3" xfId="465"/>
    <cellStyle name="Normal 41 3" xfId="354"/>
    <cellStyle name="Normal 41 3 2" xfId="563"/>
    <cellStyle name="Normal 41 4" xfId="464"/>
    <cellStyle name="Normal 42" xfId="224"/>
    <cellStyle name="Normal 42 2" xfId="225"/>
    <cellStyle name="Normal 42 2 2" xfId="355"/>
    <cellStyle name="Normal 42 2 2 2" xfId="564"/>
    <cellStyle name="Normal 42 2 3" xfId="467"/>
    <cellStyle name="Normal 42 3" xfId="356"/>
    <cellStyle name="Normal 42 3 2" xfId="565"/>
    <cellStyle name="Normal 42 4" xfId="466"/>
    <cellStyle name="Normal 43" xfId="226"/>
    <cellStyle name="Normal 43 2" xfId="227"/>
    <cellStyle name="Normal 43 2 2" xfId="357"/>
    <cellStyle name="Normal 43 2 2 2" xfId="566"/>
    <cellStyle name="Normal 43 2 3" xfId="469"/>
    <cellStyle name="Normal 43 3" xfId="358"/>
    <cellStyle name="Normal 43 3 2" xfId="567"/>
    <cellStyle name="Normal 43 4" xfId="468"/>
    <cellStyle name="Normal 44" xfId="228"/>
    <cellStyle name="Normal 44 2" xfId="229"/>
    <cellStyle name="Normal 44 2 2" xfId="359"/>
    <cellStyle name="Normal 44 2 2 2" xfId="568"/>
    <cellStyle name="Normal 44 2 3" xfId="471"/>
    <cellStyle name="Normal 44 3" xfId="360"/>
    <cellStyle name="Normal 44 3 2" xfId="569"/>
    <cellStyle name="Normal 44 4" xfId="470"/>
    <cellStyle name="Normal 45" xfId="230"/>
    <cellStyle name="Normal 45 2" xfId="231"/>
    <cellStyle name="Normal 45 2 2" xfId="361"/>
    <cellStyle name="Normal 45 2 2 2" xfId="570"/>
    <cellStyle name="Normal 45 2 3" xfId="473"/>
    <cellStyle name="Normal 45 3" xfId="362"/>
    <cellStyle name="Normal 45 3 2" xfId="571"/>
    <cellStyle name="Normal 45 4" xfId="472"/>
    <cellStyle name="Normal 46" xfId="232"/>
    <cellStyle name="Normal 46 2" xfId="233"/>
    <cellStyle name="Normal 46 2 2" xfId="363"/>
    <cellStyle name="Normal 46 2 2 2" xfId="572"/>
    <cellStyle name="Normal 46 2 3" xfId="475"/>
    <cellStyle name="Normal 46 3" xfId="364"/>
    <cellStyle name="Normal 46 3 2" xfId="573"/>
    <cellStyle name="Normal 46 4" xfId="474"/>
    <cellStyle name="Normal 47" xfId="234"/>
    <cellStyle name="Normal 47 2" xfId="235"/>
    <cellStyle name="Normal 47 2 2" xfId="365"/>
    <cellStyle name="Normal 47 2 2 2" xfId="574"/>
    <cellStyle name="Normal 47 2 3" xfId="477"/>
    <cellStyle name="Normal 47 3" xfId="366"/>
    <cellStyle name="Normal 47 3 2" xfId="575"/>
    <cellStyle name="Normal 47 4" xfId="476"/>
    <cellStyle name="Normal 48" xfId="236"/>
    <cellStyle name="Normal 48 2" xfId="237"/>
    <cellStyle name="Normal 48 2 2" xfId="367"/>
    <cellStyle name="Normal 48 2 2 2" xfId="576"/>
    <cellStyle name="Normal 48 2 3" xfId="479"/>
    <cellStyle name="Normal 48 3" xfId="368"/>
    <cellStyle name="Normal 48 3 2" xfId="577"/>
    <cellStyle name="Normal 48 4" xfId="478"/>
    <cellStyle name="Normal 49" xfId="238"/>
    <cellStyle name="Normal 49 2" xfId="239"/>
    <cellStyle name="Normal 49 2 2" xfId="369"/>
    <cellStyle name="Normal 49 2 2 2" xfId="578"/>
    <cellStyle name="Normal 49 2 3" xfId="481"/>
    <cellStyle name="Normal 49 3" xfId="370"/>
    <cellStyle name="Normal 49 3 2" xfId="579"/>
    <cellStyle name="Normal 49 4" xfId="480"/>
    <cellStyle name="Normal 5" xfId="17"/>
    <cellStyle name="Normal 5 2" xfId="29"/>
    <cellStyle name="Normal 5 2 2" xfId="78"/>
    <cellStyle name="Normal 5 3" xfId="64"/>
    <cellStyle name="Normal 5 4" xfId="108"/>
    <cellStyle name="Normal 5 4 2" xfId="240"/>
    <cellStyle name="Normal 5 5" xfId="125"/>
    <cellStyle name="Normal 5 6" xfId="701"/>
    <cellStyle name="Normal 50" xfId="241"/>
    <cellStyle name="Normal 50 2" xfId="242"/>
    <cellStyle name="Normal 50 2 2" xfId="371"/>
    <cellStyle name="Normal 50 2 2 2" xfId="580"/>
    <cellStyle name="Normal 50 2 3" xfId="483"/>
    <cellStyle name="Normal 50 3" xfId="372"/>
    <cellStyle name="Normal 50 3 2" xfId="581"/>
    <cellStyle name="Normal 50 4" xfId="482"/>
    <cellStyle name="Normal 51" xfId="243"/>
    <cellStyle name="Normal 51 2" xfId="244"/>
    <cellStyle name="Normal 51 2 2" xfId="373"/>
    <cellStyle name="Normal 51 2 2 2" xfId="582"/>
    <cellStyle name="Normal 51 2 3" xfId="485"/>
    <cellStyle name="Normal 51 3" xfId="374"/>
    <cellStyle name="Normal 51 3 2" xfId="583"/>
    <cellStyle name="Normal 51 4" xfId="484"/>
    <cellStyle name="Normal 52" xfId="245"/>
    <cellStyle name="Normal 52 2" xfId="246"/>
    <cellStyle name="Normal 52 2 2" xfId="375"/>
    <cellStyle name="Normal 52 2 2 2" xfId="584"/>
    <cellStyle name="Normal 52 2 3" xfId="487"/>
    <cellStyle name="Normal 52 3" xfId="376"/>
    <cellStyle name="Normal 52 3 2" xfId="585"/>
    <cellStyle name="Normal 52 4" xfId="486"/>
    <cellStyle name="Normal 53" xfId="247"/>
    <cellStyle name="Normal 53 2" xfId="248"/>
    <cellStyle name="Normal 53 2 2" xfId="377"/>
    <cellStyle name="Normal 53 2 2 2" xfId="586"/>
    <cellStyle name="Normal 53 2 3" xfId="489"/>
    <cellStyle name="Normal 53 3" xfId="378"/>
    <cellStyle name="Normal 53 3 2" xfId="587"/>
    <cellStyle name="Normal 53 4" xfId="488"/>
    <cellStyle name="Normal 54" xfId="249"/>
    <cellStyle name="Normal 54 2" xfId="250"/>
    <cellStyle name="Normal 54 2 2" xfId="379"/>
    <cellStyle name="Normal 54 2 2 2" xfId="588"/>
    <cellStyle name="Normal 54 2 3" xfId="491"/>
    <cellStyle name="Normal 54 3" xfId="380"/>
    <cellStyle name="Normal 54 3 2" xfId="589"/>
    <cellStyle name="Normal 54 4" xfId="490"/>
    <cellStyle name="Normal 55" xfId="251"/>
    <cellStyle name="Normal 55 2" xfId="252"/>
    <cellStyle name="Normal 55 2 2" xfId="381"/>
    <cellStyle name="Normal 55 2 2 2" xfId="590"/>
    <cellStyle name="Normal 55 2 3" xfId="493"/>
    <cellStyle name="Normal 55 3" xfId="382"/>
    <cellStyle name="Normal 55 3 2" xfId="591"/>
    <cellStyle name="Normal 55 4" xfId="492"/>
    <cellStyle name="Normal 56" xfId="253"/>
    <cellStyle name="Normal 56 2" xfId="254"/>
    <cellStyle name="Normal 56 2 2" xfId="383"/>
    <cellStyle name="Normal 56 2 2 2" xfId="592"/>
    <cellStyle name="Normal 56 2 3" xfId="495"/>
    <cellStyle name="Normal 56 3" xfId="384"/>
    <cellStyle name="Normal 56 3 2" xfId="593"/>
    <cellStyle name="Normal 56 4" xfId="494"/>
    <cellStyle name="Normal 57" xfId="255"/>
    <cellStyle name="Normal 57 2" xfId="256"/>
    <cellStyle name="Normal 57 2 2" xfId="385"/>
    <cellStyle name="Normal 57 2 2 2" xfId="594"/>
    <cellStyle name="Normal 57 2 3" xfId="497"/>
    <cellStyle name="Normal 57 3" xfId="386"/>
    <cellStyle name="Normal 57 3 2" xfId="595"/>
    <cellStyle name="Normal 57 4" xfId="496"/>
    <cellStyle name="Normal 58" xfId="257"/>
    <cellStyle name="Normal 58 2" xfId="303"/>
    <cellStyle name="Normal 58 2 2" xfId="515"/>
    <cellStyle name="Normal 58 3" xfId="498"/>
    <cellStyle name="Normal 59" xfId="258"/>
    <cellStyle name="Normal 6" xfId="10"/>
    <cellStyle name="Normal 6 2" xfId="30"/>
    <cellStyle name="Normal 6 2 2" xfId="79"/>
    <cellStyle name="Normal 6 3" xfId="59"/>
    <cellStyle name="Normal 6 4" xfId="259"/>
    <cellStyle name="Normal 60" xfId="260"/>
    <cellStyle name="Normal 60 2" xfId="387"/>
    <cellStyle name="Normal 60 2 2" xfId="596"/>
    <cellStyle name="Normal 60 3" xfId="499"/>
    <cellStyle name="Normal 61" xfId="261"/>
    <cellStyle name="Normal 61 2" xfId="388"/>
    <cellStyle name="Normal 61 2 2" xfId="597"/>
    <cellStyle name="Normal 61 3" xfId="500"/>
    <cellStyle name="Normal 62" xfId="262"/>
    <cellStyle name="Normal 62 2" xfId="389"/>
    <cellStyle name="Normal 62 2 2" xfId="598"/>
    <cellStyle name="Normal 62 3" xfId="501"/>
    <cellStyle name="Normal 63" xfId="263"/>
    <cellStyle name="Normal 63 2" xfId="390"/>
    <cellStyle name="Normal 63 2 2" xfId="599"/>
    <cellStyle name="Normal 63 3" xfId="502"/>
    <cellStyle name="Normal 64" xfId="264"/>
    <cellStyle name="Normal 64 2" xfId="391"/>
    <cellStyle name="Normal 64 2 2" xfId="600"/>
    <cellStyle name="Normal 64 3" xfId="503"/>
    <cellStyle name="Normal 65" xfId="265"/>
    <cellStyle name="Normal 65 2" xfId="392"/>
    <cellStyle name="Normal 65 2 2" xfId="601"/>
    <cellStyle name="Normal 65 3" xfId="504"/>
    <cellStyle name="Normal 66" xfId="266"/>
    <cellStyle name="Normal 66 2" xfId="393"/>
    <cellStyle name="Normal 66 2 2" xfId="602"/>
    <cellStyle name="Normal 66 3" xfId="505"/>
    <cellStyle name="Normal 67" xfId="267"/>
    <cellStyle name="Normal 67 2" xfId="394"/>
    <cellStyle name="Normal 67 2 2" xfId="603"/>
    <cellStyle name="Normal 67 3" xfId="506"/>
    <cellStyle name="Normal 68" xfId="268"/>
    <cellStyle name="Normal 68 2" xfId="395"/>
    <cellStyle name="Normal 68 2 2" xfId="604"/>
    <cellStyle name="Normal 68 3" xfId="507"/>
    <cellStyle name="Normal 69" xfId="269"/>
    <cellStyle name="Normal 7" xfId="31"/>
    <cellStyle name="Normal 7 2" xfId="80"/>
    <cellStyle name="Normal 7 2 2" xfId="270"/>
    <cellStyle name="Normal 7 3" xfId="668"/>
    <cellStyle name="Normal 70" xfId="271"/>
    <cellStyle name="Normal 71" xfId="272"/>
    <cellStyle name="Normal 72" xfId="299"/>
    <cellStyle name="Normal 72 2" xfId="511"/>
    <cellStyle name="Normal 73" xfId="300"/>
    <cellStyle name="Normal 73 2" xfId="512"/>
    <cellStyle name="Normal 74" xfId="301"/>
    <cellStyle name="Normal 74 2" xfId="513"/>
    <cellStyle name="Normal 75" xfId="396"/>
    <cellStyle name="Normal 75 2" xfId="605"/>
    <cellStyle name="Normal 76" xfId="397"/>
    <cellStyle name="Normal 76 2" xfId="606"/>
    <cellStyle name="Normal 77" xfId="403"/>
    <cellStyle name="Normal 77 2" xfId="610"/>
    <cellStyle name="Normal 78" xfId="404"/>
    <cellStyle name="Normal 78 2" xfId="611"/>
    <cellStyle name="Normal 79" xfId="398"/>
    <cellStyle name="Normal 79 2" xfId="607"/>
    <cellStyle name="Normal 8" xfId="32"/>
    <cellStyle name="Normal 8 2" xfId="81"/>
    <cellStyle name="Normal 8 2 2" xfId="273"/>
    <cellStyle name="Normal 8 3" xfId="669"/>
    <cellStyle name="Normal 80" xfId="302"/>
    <cellStyle name="Normal 80 2" xfId="514"/>
    <cellStyle name="Normal 81" xfId="405"/>
    <cellStyle name="Normal 81 2" xfId="612"/>
    <cellStyle name="Normal 82" xfId="399"/>
    <cellStyle name="Normal 82 2" xfId="608"/>
    <cellStyle name="Normal 83" xfId="406"/>
    <cellStyle name="Normal 83 2" xfId="613"/>
    <cellStyle name="Normal 84" xfId="407"/>
    <cellStyle name="Normal 84 2" xfId="614"/>
    <cellStyle name="Normal 85" xfId="408"/>
    <cellStyle name="Normal 85 2" xfId="615"/>
    <cellStyle name="Normal 86" xfId="409"/>
    <cellStyle name="Normal 86 2" xfId="616"/>
    <cellStyle name="Normal 87" xfId="410"/>
    <cellStyle name="Normal 87 2" xfId="617"/>
    <cellStyle name="Normal 88" xfId="411"/>
    <cellStyle name="Normal 88 2" xfId="618"/>
    <cellStyle name="Normal 89" xfId="412"/>
    <cellStyle name="Normal 89 2" xfId="619"/>
    <cellStyle name="Normal 9" xfId="33"/>
    <cellStyle name="Normal 9 2" xfId="82"/>
    <cellStyle name="Normal 9 2 2" xfId="274"/>
    <cellStyle name="Normal 9 3" xfId="670"/>
    <cellStyle name="Normal 90" xfId="414"/>
    <cellStyle name="Normal 91" xfId="413"/>
    <cellStyle name="Normal 92" xfId="620"/>
    <cellStyle name="Normal 93" xfId="621"/>
    <cellStyle name="Normal 94" xfId="622"/>
    <cellStyle name="Normal 95" xfId="623"/>
    <cellStyle name="Normal 96" xfId="127"/>
    <cellStyle name="Normal 96 2" xfId="686"/>
    <cellStyle name="Normal 97" xfId="624"/>
    <cellStyle name="Normal 98" xfId="691"/>
    <cellStyle name="Normal 99" xfId="693"/>
    <cellStyle name="Note 2" xfId="661"/>
    <cellStyle name="Output 2" xfId="662"/>
    <cellStyle name="Percent" xfId="9" builtinId="5"/>
    <cellStyle name="Percent 10" xfId="275"/>
    <cellStyle name="Percent 11" xfId="703"/>
    <cellStyle name="Percent 2" xfId="4"/>
    <cellStyle name="Percent 2 2" xfId="12"/>
    <cellStyle name="Percent 2 2 2" xfId="60"/>
    <cellStyle name="Percent 2 3" xfId="55"/>
    <cellStyle name="Percent 2 4" xfId="100"/>
    <cellStyle name="Percent 2 4 2" xfId="276"/>
    <cellStyle name="Percent 2 5" xfId="114"/>
    <cellStyle name="Percent 2 6" xfId="696"/>
    <cellStyle name="Percent 3" xfId="19"/>
    <cellStyle name="Percent 3 2" xfId="66"/>
    <cellStyle name="Percent 3 3" xfId="277"/>
    <cellStyle name="Percent 4" xfId="20"/>
    <cellStyle name="Percent 4 2" xfId="278"/>
    <cellStyle name="Percent 5" xfId="50"/>
    <cellStyle name="Percent 5 2" xfId="279"/>
    <cellStyle name="Percent 6" xfId="110"/>
    <cellStyle name="Percent 6 2" xfId="280"/>
    <cellStyle name="Percent 7" xfId="117"/>
    <cellStyle name="Percent 7 2" xfId="400"/>
    <cellStyle name="Percent 7 2 2" xfId="609"/>
    <cellStyle name="Percent 7 3" xfId="509"/>
    <cellStyle name="Percent 7 4" xfId="281"/>
    <cellStyle name="Percent 8" xfId="401"/>
    <cellStyle name="Percent 9" xfId="508"/>
    <cellStyle name="Title 2" xfId="663"/>
    <cellStyle name="Total 10" xfId="664"/>
    <cellStyle name="Total 2" xfId="283"/>
    <cellStyle name="Total 3" xfId="284"/>
    <cellStyle name="Total 4" xfId="285"/>
    <cellStyle name="Total 5" xfId="286"/>
    <cellStyle name="Total 6" xfId="287"/>
    <cellStyle name="Total 7" xfId="402"/>
    <cellStyle name="Total 8" xfId="510"/>
    <cellStyle name="Total 9" xfId="282"/>
    <cellStyle name="Warning Text 2" xfId="665"/>
    <cellStyle name="똿뗦먛귟 [0.00]_PRODUCT DETAIL Q1" xfId="288"/>
    <cellStyle name="똿뗦먛귟_PRODUCT DETAIL Q1" xfId="289"/>
    <cellStyle name="믅됞 [0.00]_PRODUCT DETAIL Q1" xfId="290"/>
    <cellStyle name="믅됞_PRODUCT DETAIL Q1" xfId="291"/>
    <cellStyle name="백분율_HOBONG" xfId="292"/>
    <cellStyle name="뷭?_BOOKSHIP" xfId="293"/>
    <cellStyle name="콤마 [0]_1202" xfId="294"/>
    <cellStyle name="콤마_1202" xfId="295"/>
    <cellStyle name="통화 [0]_1202" xfId="296"/>
    <cellStyle name="통화_1202" xfId="297"/>
    <cellStyle name="표준_(정보부문)월별인원계획" xfId="29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J134"/>
  <sheetViews>
    <sheetView tabSelected="1" workbookViewId="0">
      <pane ySplit="7" topLeftCell="A109" activePane="bottomLeft" state="frozen"/>
      <selection pane="bottomLeft" activeCell="K125" sqref="K125"/>
    </sheetView>
  </sheetViews>
  <sheetFormatPr defaultColWidth="8.75" defaultRowHeight="15"/>
  <cols>
    <col min="1" max="1" width="14.75" style="64" customWidth="1"/>
    <col min="2" max="5" width="14.75" style="74" customWidth="1"/>
    <col min="6" max="6" width="14.75" style="66" customWidth="1"/>
    <col min="7" max="8" width="14.75" style="1" customWidth="1"/>
    <col min="9" max="9" width="8.75" style="1"/>
    <col min="10" max="10" width="9.875" style="1" bestFit="1" customWidth="1"/>
    <col min="11" max="16384" width="8.75" style="1"/>
  </cols>
  <sheetData>
    <row r="2" spans="1:8">
      <c r="A2" s="106" t="s">
        <v>52</v>
      </c>
      <c r="B2" s="106"/>
      <c r="C2" s="106"/>
      <c r="D2" s="106"/>
      <c r="E2" s="106"/>
      <c r="F2" s="106"/>
      <c r="G2" s="106"/>
      <c r="H2" s="106"/>
    </row>
    <row r="3" spans="1:8">
      <c r="A3" s="107" t="s">
        <v>158</v>
      </c>
      <c r="B3" s="107"/>
      <c r="C3" s="107"/>
      <c r="D3" s="107"/>
      <c r="E3" s="107"/>
      <c r="F3" s="107"/>
      <c r="G3" s="107"/>
      <c r="H3" s="107"/>
    </row>
    <row r="4" spans="1:8">
      <c r="A4" s="63"/>
      <c r="B4" s="73"/>
      <c r="C4" s="73"/>
      <c r="D4" s="73"/>
      <c r="E4" s="73"/>
      <c r="F4" s="65"/>
      <c r="G4" s="3" t="s">
        <v>59</v>
      </c>
      <c r="H4" s="4"/>
    </row>
    <row r="5" spans="1:8">
      <c r="G5" s="2" t="s">
        <v>60</v>
      </c>
    </row>
    <row r="6" spans="1:8" s="6" customFormat="1" ht="14.25">
      <c r="A6" s="108" t="s">
        <v>0</v>
      </c>
      <c r="B6" s="108" t="s">
        <v>1</v>
      </c>
      <c r="C6" s="108"/>
      <c r="D6" s="108" t="s">
        <v>2</v>
      </c>
      <c r="E6" s="108"/>
      <c r="F6" s="109" t="s">
        <v>3</v>
      </c>
      <c r="G6" s="108" t="s">
        <v>46</v>
      </c>
      <c r="H6" s="108"/>
    </row>
    <row r="7" spans="1:8" s="6" customFormat="1" ht="28.5">
      <c r="A7" s="108"/>
      <c r="B7" s="75" t="s">
        <v>4</v>
      </c>
      <c r="C7" s="75" t="s">
        <v>5</v>
      </c>
      <c r="D7" s="75" t="s">
        <v>4</v>
      </c>
      <c r="E7" s="75" t="s">
        <v>5</v>
      </c>
      <c r="F7" s="109"/>
      <c r="G7" s="29" t="s">
        <v>6</v>
      </c>
      <c r="H7" s="29" t="s">
        <v>7</v>
      </c>
    </row>
    <row r="8" spans="1:8">
      <c r="A8" s="7" t="s">
        <v>8</v>
      </c>
      <c r="B8" s="76" t="s">
        <v>9</v>
      </c>
      <c r="C8" s="76">
        <v>6.343</v>
      </c>
      <c r="D8" s="76">
        <v>15.221</v>
      </c>
      <c r="E8" s="76">
        <v>2.6560000000000001</v>
      </c>
      <c r="F8" s="67" t="s">
        <v>10</v>
      </c>
      <c r="G8" s="5"/>
      <c r="H8" s="5"/>
    </row>
    <row r="9" spans="1:8">
      <c r="A9" s="9" t="s">
        <v>11</v>
      </c>
      <c r="B9" s="77" t="s">
        <v>12</v>
      </c>
      <c r="C9" s="77">
        <v>7.0449999999999999</v>
      </c>
      <c r="D9" s="77">
        <v>16.113</v>
      </c>
      <c r="E9" s="77">
        <v>2.419</v>
      </c>
      <c r="F9" s="11" t="s">
        <v>13</v>
      </c>
      <c r="G9" s="10"/>
      <c r="H9" s="10" t="s">
        <v>14</v>
      </c>
    </row>
    <row r="10" spans="1:8">
      <c r="A10" s="9" t="s">
        <v>15</v>
      </c>
      <c r="B10" s="77" t="s">
        <v>16</v>
      </c>
      <c r="C10" s="77">
        <v>7.1</v>
      </c>
      <c r="D10" s="77">
        <v>16.273</v>
      </c>
      <c r="E10" s="77">
        <v>2.4500000000000002</v>
      </c>
      <c r="F10" s="11">
        <v>1642590</v>
      </c>
      <c r="G10" s="10" t="s">
        <v>17</v>
      </c>
      <c r="H10" s="10" t="s">
        <v>18</v>
      </c>
    </row>
    <row r="11" spans="1:8">
      <c r="A11" s="9" t="s">
        <v>19</v>
      </c>
      <c r="B11" s="77" t="s">
        <v>20</v>
      </c>
      <c r="C11" s="77">
        <v>7.1479999999999997</v>
      </c>
      <c r="D11" s="77">
        <v>16.416</v>
      </c>
      <c r="E11" s="77">
        <v>2.4660000000000002</v>
      </c>
      <c r="F11" s="11" t="s">
        <v>21</v>
      </c>
      <c r="G11" s="10" t="s">
        <v>17</v>
      </c>
      <c r="H11" s="10" t="s">
        <v>22</v>
      </c>
    </row>
    <row r="12" spans="1:8">
      <c r="A12" s="9" t="s">
        <v>23</v>
      </c>
      <c r="B12" s="77" t="s">
        <v>24</v>
      </c>
      <c r="C12" s="77">
        <v>7.2439999999999998</v>
      </c>
      <c r="D12" s="77">
        <v>16.561</v>
      </c>
      <c r="E12" s="77">
        <v>2.4630000000000001</v>
      </c>
      <c r="F12" s="11" t="s">
        <v>25</v>
      </c>
      <c r="G12" s="10" t="s">
        <v>17</v>
      </c>
      <c r="H12" s="10" t="s">
        <v>26</v>
      </c>
    </row>
    <row r="13" spans="1:8">
      <c r="A13" s="9" t="s">
        <v>27</v>
      </c>
      <c r="B13" s="77" t="s">
        <v>28</v>
      </c>
      <c r="C13" s="77">
        <v>7.3170000000000002</v>
      </c>
      <c r="D13" s="77">
        <v>16.725999999999999</v>
      </c>
      <c r="E13" s="77">
        <v>2.4700000000000002</v>
      </c>
      <c r="F13" s="71" t="s">
        <v>45</v>
      </c>
      <c r="G13" s="10" t="s">
        <v>29</v>
      </c>
      <c r="H13" s="10" t="s">
        <v>30</v>
      </c>
    </row>
    <row r="14" spans="1:8">
      <c r="A14" s="7" t="s">
        <v>31</v>
      </c>
      <c r="B14" s="76" t="s">
        <v>32</v>
      </c>
      <c r="C14" s="76">
        <v>7.4379999999999997</v>
      </c>
      <c r="D14" s="76">
        <v>16.850000000000001</v>
      </c>
      <c r="E14" s="76">
        <v>2.5030000000000001</v>
      </c>
      <c r="F14" s="72" t="s">
        <v>33</v>
      </c>
      <c r="G14" s="8" t="s">
        <v>34</v>
      </c>
      <c r="H14" s="8" t="s">
        <v>35</v>
      </c>
    </row>
    <row r="15" spans="1:8">
      <c r="A15" s="9" t="s">
        <v>36</v>
      </c>
      <c r="B15" s="77" t="s">
        <v>37</v>
      </c>
      <c r="C15" s="77">
        <v>7.49</v>
      </c>
      <c r="D15" s="77">
        <v>16.951000000000001</v>
      </c>
      <c r="E15" s="77">
        <v>2.5209999999999999</v>
      </c>
      <c r="F15" s="11" t="s">
        <v>38</v>
      </c>
      <c r="G15" s="10" t="s">
        <v>39</v>
      </c>
      <c r="H15" s="10" t="s">
        <v>39</v>
      </c>
    </row>
    <row r="16" spans="1:8">
      <c r="A16" s="12" t="s">
        <v>40</v>
      </c>
      <c r="B16" s="78" t="s">
        <v>41</v>
      </c>
      <c r="C16" s="78">
        <v>7.5490000000000004</v>
      </c>
      <c r="D16" s="78">
        <v>17.065000000000001</v>
      </c>
      <c r="E16" s="78">
        <v>2.57</v>
      </c>
      <c r="F16" s="16" t="s">
        <v>42</v>
      </c>
      <c r="G16" s="13" t="s">
        <v>43</v>
      </c>
      <c r="H16" s="13" t="s">
        <v>44</v>
      </c>
    </row>
    <row r="17" spans="1:8">
      <c r="A17" s="9" t="s">
        <v>47</v>
      </c>
      <c r="B17" s="77">
        <v>1733531</v>
      </c>
      <c r="C17" s="77">
        <v>7634</v>
      </c>
      <c r="D17" s="77">
        <v>17274</v>
      </c>
      <c r="E17" s="77">
        <v>2604</v>
      </c>
      <c r="F17" s="11">
        <v>1761043</v>
      </c>
      <c r="G17" s="14">
        <v>1.1599999999999999E-2</v>
      </c>
      <c r="H17" s="14">
        <v>2.8400000000000002E-2</v>
      </c>
    </row>
    <row r="18" spans="1:8">
      <c r="A18" s="9" t="s">
        <v>48</v>
      </c>
      <c r="B18" s="77">
        <v>1747110</v>
      </c>
      <c r="C18" s="77">
        <v>7703</v>
      </c>
      <c r="D18" s="77">
        <v>17433</v>
      </c>
      <c r="E18" s="77">
        <v>2627</v>
      </c>
      <c r="F18" s="11">
        <v>1774873</v>
      </c>
      <c r="G18" s="14">
        <v>7.9000000000000008E-3</v>
      </c>
      <c r="H18" s="14">
        <v>3.6499999999999998E-2</v>
      </c>
    </row>
    <row r="19" spans="1:8">
      <c r="A19" s="15" t="s">
        <v>49</v>
      </c>
      <c r="B19" s="78">
        <v>1764212</v>
      </c>
      <c r="C19" s="78">
        <v>7809</v>
      </c>
      <c r="D19" s="78">
        <v>17658</v>
      </c>
      <c r="E19" s="78">
        <v>2657</v>
      </c>
      <c r="F19" s="16">
        <v>1792336</v>
      </c>
      <c r="G19" s="17">
        <v>9.7999999999999997E-3</v>
      </c>
      <c r="H19" s="17">
        <v>4.6699999999999998E-2</v>
      </c>
    </row>
    <row r="20" spans="1:8">
      <c r="A20" s="15" t="s">
        <v>50</v>
      </c>
      <c r="B20" s="78">
        <v>1781880</v>
      </c>
      <c r="C20" s="78">
        <v>7877</v>
      </c>
      <c r="D20" s="78">
        <v>17880</v>
      </c>
      <c r="E20" s="78">
        <v>2684</v>
      </c>
      <c r="F20" s="16">
        <v>1810321</v>
      </c>
      <c r="G20" s="17">
        <v>0.01</v>
      </c>
      <c r="H20" s="17">
        <v>5.7200000000000001E-2</v>
      </c>
    </row>
    <row r="21" spans="1:8">
      <c r="A21" s="18" t="s">
        <v>51</v>
      </c>
      <c r="B21" s="77">
        <v>1799847</v>
      </c>
      <c r="C21" s="77">
        <v>7952</v>
      </c>
      <c r="D21" s="77">
        <v>18073</v>
      </c>
      <c r="E21" s="77">
        <v>2694</v>
      </c>
      <c r="F21" s="11">
        <v>1828566</v>
      </c>
      <c r="G21" s="14">
        <v>0.01</v>
      </c>
      <c r="H21" s="14">
        <v>6.7799999999999999E-2</v>
      </c>
    </row>
    <row r="22" spans="1:8">
      <c r="A22" s="15" t="s">
        <v>53</v>
      </c>
      <c r="B22" s="79">
        <v>1820712</v>
      </c>
      <c r="C22" s="79">
        <v>8090</v>
      </c>
      <c r="D22" s="79">
        <v>18332</v>
      </c>
      <c r="E22" s="79">
        <v>2734</v>
      </c>
      <c r="F22" s="19">
        <v>1849868</v>
      </c>
      <c r="G22" s="20">
        <v>1.164956583464849E-2</v>
      </c>
      <c r="H22" s="20">
        <v>8.0284911897939182E-2</v>
      </c>
    </row>
    <row r="23" spans="1:8">
      <c r="A23" s="18" t="s">
        <v>54</v>
      </c>
      <c r="B23" s="80">
        <v>1837142</v>
      </c>
      <c r="C23" s="84">
        <v>8139</v>
      </c>
      <c r="D23" s="84">
        <v>18587</v>
      </c>
      <c r="E23" s="84">
        <v>2766</v>
      </c>
      <c r="F23" s="22">
        <v>1866634</v>
      </c>
      <c r="G23" s="23">
        <v>9.1000000000000004E-3</v>
      </c>
      <c r="H23" s="23">
        <v>9.01E-2</v>
      </c>
    </row>
    <row r="24" spans="1:8">
      <c r="A24" s="24" t="s">
        <v>55</v>
      </c>
      <c r="B24" s="79">
        <v>1853379</v>
      </c>
      <c r="C24" s="79">
        <v>8228</v>
      </c>
      <c r="D24" s="79">
        <v>18889</v>
      </c>
      <c r="E24" s="79">
        <v>2796</v>
      </c>
      <c r="F24" s="19">
        <v>1883292</v>
      </c>
      <c r="G24" s="25">
        <v>8.8999999999999999E-3</v>
      </c>
      <c r="H24" s="25">
        <v>9.98E-2</v>
      </c>
    </row>
    <row r="25" spans="1:8">
      <c r="A25" s="26" t="s">
        <v>56</v>
      </c>
      <c r="B25" s="81">
        <v>1871197</v>
      </c>
      <c r="C25" s="81">
        <v>8338</v>
      </c>
      <c r="D25" s="81">
        <v>19279</v>
      </c>
      <c r="E25" s="81">
        <v>2835</v>
      </c>
      <c r="F25" s="27">
        <v>1901649</v>
      </c>
      <c r="G25" s="25">
        <v>9.7000000000000003E-3</v>
      </c>
      <c r="H25" s="25">
        <v>0.1105</v>
      </c>
    </row>
    <row r="26" spans="1:8">
      <c r="A26" s="28" t="s">
        <v>57</v>
      </c>
      <c r="B26" s="82">
        <v>1890521</v>
      </c>
      <c r="C26" s="82">
        <v>8472</v>
      </c>
      <c r="D26" s="82">
        <v>19696</v>
      </c>
      <c r="E26" s="82">
        <v>2865</v>
      </c>
      <c r="F26" s="22">
        <v>1921554</v>
      </c>
      <c r="G26" s="23">
        <v>1.0500000000000001E-2</v>
      </c>
      <c r="H26" s="23">
        <v>0.1221</v>
      </c>
    </row>
    <row r="27" spans="1:8">
      <c r="A27" s="30" t="s">
        <v>58</v>
      </c>
      <c r="B27" s="83">
        <v>1918957</v>
      </c>
      <c r="C27" s="83">
        <v>8534</v>
      </c>
      <c r="D27" s="83">
        <v>20248</v>
      </c>
      <c r="E27" s="83">
        <v>2887</v>
      </c>
      <c r="F27" s="31">
        <v>1950626</v>
      </c>
      <c r="G27" s="32">
        <v>1.512942129130912E-2</v>
      </c>
      <c r="H27" s="32">
        <v>1.512942129130912E-2</v>
      </c>
    </row>
    <row r="28" spans="1:8">
      <c r="A28" s="33" t="s">
        <v>61</v>
      </c>
      <c r="B28" s="82">
        <v>1938329</v>
      </c>
      <c r="C28" s="82">
        <v>8572</v>
      </c>
      <c r="D28" s="82">
        <v>20636</v>
      </c>
      <c r="E28" s="82">
        <v>2922</v>
      </c>
      <c r="F28" s="22">
        <v>1970459</v>
      </c>
      <c r="G28" s="23">
        <v>1.0200000000000001E-2</v>
      </c>
      <c r="H28" s="23">
        <v>2.5499999999999998E-2</v>
      </c>
    </row>
    <row r="29" spans="1:8">
      <c r="A29" s="30" t="s">
        <v>62</v>
      </c>
      <c r="B29" s="83">
        <v>1978883</v>
      </c>
      <c r="C29" s="83">
        <v>8669</v>
      </c>
      <c r="D29" s="83">
        <v>21430</v>
      </c>
      <c r="E29" s="83">
        <v>2982</v>
      </c>
      <c r="F29" s="34">
        <v>2011964</v>
      </c>
      <c r="G29" s="32">
        <v>2.1063620202196542E-2</v>
      </c>
      <c r="H29" s="32">
        <v>4.7050460200442012E-2</v>
      </c>
    </row>
    <row r="30" spans="1:8">
      <c r="A30" s="35" t="s">
        <v>63</v>
      </c>
      <c r="B30" s="81">
        <v>2001794</v>
      </c>
      <c r="C30" s="81">
        <v>8767</v>
      </c>
      <c r="D30" s="81">
        <v>22164</v>
      </c>
      <c r="E30" s="81">
        <v>3007</v>
      </c>
      <c r="F30" s="27">
        <v>2035732</v>
      </c>
      <c r="G30" s="25">
        <v>1.18E-2</v>
      </c>
      <c r="H30" s="25">
        <v>5.9400000000000001E-2</v>
      </c>
    </row>
    <row r="31" spans="1:8">
      <c r="A31" s="35" t="s">
        <v>64</v>
      </c>
      <c r="B31" s="81">
        <v>2017531</v>
      </c>
      <c r="C31" s="81">
        <v>8773</v>
      </c>
      <c r="D31" s="81">
        <v>22820</v>
      </c>
      <c r="E31" s="81">
        <v>3044</v>
      </c>
      <c r="F31" s="27">
        <v>2052168</v>
      </c>
      <c r="G31" s="25">
        <v>8.0999999999999996E-3</v>
      </c>
      <c r="H31" s="25">
        <v>6.8000000000000005E-2</v>
      </c>
    </row>
    <row r="32" spans="1:8">
      <c r="A32" s="33" t="s">
        <v>65</v>
      </c>
      <c r="B32" s="81">
        <v>2033206</v>
      </c>
      <c r="C32" s="81">
        <v>8840</v>
      </c>
      <c r="D32" s="81">
        <v>23273</v>
      </c>
      <c r="E32" s="81">
        <v>3091</v>
      </c>
      <c r="F32" s="27">
        <v>2068410</v>
      </c>
      <c r="G32" s="25">
        <v>7.9000000000000008E-3</v>
      </c>
      <c r="H32" s="25">
        <v>7.6399999999999996E-2</v>
      </c>
    </row>
    <row r="33" spans="1:8" s="36" customFormat="1">
      <c r="A33" s="37" t="s">
        <v>66</v>
      </c>
      <c r="B33" s="78">
        <v>2054773</v>
      </c>
      <c r="C33" s="78">
        <v>8900</v>
      </c>
      <c r="D33" s="78">
        <v>23633</v>
      </c>
      <c r="E33" s="78">
        <v>3143</v>
      </c>
      <c r="F33" s="16">
        <v>2090449</v>
      </c>
      <c r="G33" s="17">
        <v>1.06E-2</v>
      </c>
      <c r="H33" s="17">
        <v>8.7900000000000006E-2</v>
      </c>
    </row>
    <row r="34" spans="1:8">
      <c r="A34" s="40" t="s">
        <v>67</v>
      </c>
      <c r="B34" s="84">
        <v>2072887</v>
      </c>
      <c r="C34" s="84">
        <v>8980</v>
      </c>
      <c r="D34" s="84">
        <v>23975</v>
      </c>
      <c r="E34" s="84">
        <v>3171</v>
      </c>
      <c r="F34" s="22">
        <v>2109013</v>
      </c>
      <c r="G34" s="23">
        <v>8.8999999999999999E-3</v>
      </c>
      <c r="H34" s="23">
        <v>9.7500000000000003E-2</v>
      </c>
    </row>
    <row r="35" spans="1:8">
      <c r="A35" s="40" t="s">
        <v>68</v>
      </c>
      <c r="B35" s="85">
        <v>2088476</v>
      </c>
      <c r="C35" s="85">
        <v>9042</v>
      </c>
      <c r="D35" s="85">
        <v>24204</v>
      </c>
      <c r="E35" s="85">
        <v>3208</v>
      </c>
      <c r="F35" s="38">
        <v>2124930</v>
      </c>
      <c r="G35" s="23">
        <v>7.4999999999999997E-3</v>
      </c>
      <c r="H35" s="23">
        <v>0.10580000000000001</v>
      </c>
    </row>
    <row r="36" spans="1:8">
      <c r="A36" s="33" t="s">
        <v>69</v>
      </c>
      <c r="B36" s="85">
        <v>2108521</v>
      </c>
      <c r="C36" s="85">
        <v>9100</v>
      </c>
      <c r="D36" s="85">
        <v>24511</v>
      </c>
      <c r="E36" s="85">
        <v>3243</v>
      </c>
      <c r="F36" s="38">
        <v>2145375</v>
      </c>
      <c r="G36" s="39">
        <v>9.5999999999999992E-3</v>
      </c>
      <c r="H36" s="23">
        <v>0.1164</v>
      </c>
    </row>
    <row r="37" spans="1:8" s="36" customFormat="1">
      <c r="A37" s="28" t="s">
        <v>70</v>
      </c>
      <c r="B37" s="86">
        <v>2129788</v>
      </c>
      <c r="C37" s="86">
        <v>9193</v>
      </c>
      <c r="D37" s="86">
        <v>24772</v>
      </c>
      <c r="E37" s="86">
        <v>3287</v>
      </c>
      <c r="F37" s="41">
        <v>2167040</v>
      </c>
      <c r="G37" s="42">
        <v>1.01E-2</v>
      </c>
      <c r="H37" s="43">
        <v>0.12770000000000001</v>
      </c>
    </row>
    <row r="38" spans="1:8">
      <c r="A38" s="28" t="s">
        <v>71</v>
      </c>
      <c r="B38" s="84">
        <v>2144735</v>
      </c>
      <c r="C38" s="84">
        <v>9298</v>
      </c>
      <c r="D38" s="84">
        <v>24975</v>
      </c>
      <c r="E38" s="84">
        <v>3319</v>
      </c>
      <c r="F38" s="22">
        <v>2182327</v>
      </c>
      <c r="G38" s="23">
        <v>7.0499999999999998E-3</v>
      </c>
      <c r="H38" s="23">
        <v>0.13569999999999999</v>
      </c>
    </row>
    <row r="39" spans="1:8">
      <c r="A39" s="28" t="s">
        <v>72</v>
      </c>
      <c r="B39" s="85">
        <v>2159850</v>
      </c>
      <c r="C39" s="84">
        <v>9375</v>
      </c>
      <c r="D39" s="84">
        <v>25164</v>
      </c>
      <c r="E39" s="84">
        <v>3346</v>
      </c>
      <c r="F39" s="22">
        <v>2197735</v>
      </c>
      <c r="G39" s="23">
        <v>7.1000000000000004E-3</v>
      </c>
      <c r="H39" s="23">
        <v>7.1000000000000004E-3</v>
      </c>
    </row>
    <row r="40" spans="1:8" ht="15.75">
      <c r="A40" s="33" t="s">
        <v>73</v>
      </c>
      <c r="B40" s="87">
        <v>2174198</v>
      </c>
      <c r="C40" s="87">
        <v>9403</v>
      </c>
      <c r="D40" s="87">
        <v>25333</v>
      </c>
      <c r="E40" s="87">
        <v>3383</v>
      </c>
      <c r="F40" s="44">
        <v>2212317</v>
      </c>
      <c r="G40" s="45">
        <v>6.6E-3</v>
      </c>
      <c r="H40" s="45">
        <v>1.37E-2</v>
      </c>
    </row>
    <row r="41" spans="1:8">
      <c r="A41" s="46" t="s">
        <v>74</v>
      </c>
      <c r="B41" s="88">
        <v>2195374</v>
      </c>
      <c r="C41" s="88">
        <v>9492</v>
      </c>
      <c r="D41" s="88">
        <v>25660</v>
      </c>
      <c r="E41" s="88">
        <v>3412</v>
      </c>
      <c r="F41" s="47">
        <v>2233938</v>
      </c>
      <c r="G41" s="48">
        <v>9.7000000000000003E-3</v>
      </c>
      <c r="H41" s="48">
        <v>2.4E-2</v>
      </c>
    </row>
    <row r="42" spans="1:8" ht="15.75">
      <c r="A42" s="28" t="s">
        <v>75</v>
      </c>
      <c r="B42" s="88">
        <v>2212740</v>
      </c>
      <c r="C42" s="88">
        <v>9556</v>
      </c>
      <c r="D42" s="88">
        <v>26024</v>
      </c>
      <c r="E42" s="88">
        <v>3464</v>
      </c>
      <c r="F42" s="49">
        <v>2251784</v>
      </c>
      <c r="G42" s="50">
        <v>7.9799999999999992E-3</v>
      </c>
      <c r="H42" s="50">
        <v>2.46E-2</v>
      </c>
    </row>
    <row r="43" spans="1:8">
      <c r="A43" s="46" t="s">
        <v>76</v>
      </c>
      <c r="B43" s="88">
        <v>2229848</v>
      </c>
      <c r="C43" s="88">
        <v>9636</v>
      </c>
      <c r="D43" s="88">
        <v>26384</v>
      </c>
      <c r="E43" s="88">
        <v>3488</v>
      </c>
      <c r="F43" s="47">
        <v>2269356</v>
      </c>
      <c r="G43" s="48">
        <v>7.7999999999999996E-3</v>
      </c>
      <c r="H43" s="48">
        <v>3.9899999999999998E-2</v>
      </c>
    </row>
    <row r="44" spans="1:8">
      <c r="A44" s="51" t="s">
        <v>77</v>
      </c>
      <c r="B44" s="89">
        <v>2244068</v>
      </c>
      <c r="C44" s="89">
        <v>9704</v>
      </c>
      <c r="D44" s="89">
        <v>26734</v>
      </c>
      <c r="E44" s="89">
        <v>3527</v>
      </c>
      <c r="F44" s="52">
        <v>2284033</v>
      </c>
      <c r="G44" s="53">
        <v>6.4999999999999997E-3</v>
      </c>
      <c r="H44" s="53">
        <v>4.6600000000000003E-2</v>
      </c>
    </row>
    <row r="45" spans="1:8" s="36" customFormat="1" ht="15.75">
      <c r="A45" s="46" t="s">
        <v>78</v>
      </c>
      <c r="B45" s="90">
        <v>2262537</v>
      </c>
      <c r="C45" s="90">
        <v>9783</v>
      </c>
      <c r="D45" s="90">
        <v>27064</v>
      </c>
      <c r="E45" s="90">
        <v>3560</v>
      </c>
      <c r="F45" s="54">
        <v>2302944</v>
      </c>
      <c r="G45" s="50">
        <v>8.3000000000000001E-3</v>
      </c>
      <c r="H45" s="50">
        <v>5.5300000000000002E-2</v>
      </c>
    </row>
    <row r="46" spans="1:8">
      <c r="A46" s="28" t="s">
        <v>79</v>
      </c>
      <c r="B46" s="88">
        <v>2280202</v>
      </c>
      <c r="C46" s="88">
        <v>9860</v>
      </c>
      <c r="D46" s="88">
        <v>27396</v>
      </c>
      <c r="E46" s="88">
        <v>3591</v>
      </c>
      <c r="F46" s="47">
        <v>2321049</v>
      </c>
      <c r="G46" s="48">
        <v>7.9000000000000008E-3</v>
      </c>
      <c r="H46" s="48">
        <v>6.3600000000000004E-2</v>
      </c>
    </row>
    <row r="47" spans="1:8">
      <c r="A47" s="46" t="s">
        <v>80</v>
      </c>
      <c r="B47" s="88">
        <v>2296443</v>
      </c>
      <c r="C47" s="88">
        <v>9934</v>
      </c>
      <c r="D47" s="88">
        <v>27640</v>
      </c>
      <c r="E47" s="88">
        <v>3622</v>
      </c>
      <c r="F47" s="47">
        <v>2337639</v>
      </c>
      <c r="G47" s="48">
        <v>7.1000000000000004E-3</v>
      </c>
      <c r="H47" s="48">
        <v>7.1099999999999997E-2</v>
      </c>
    </row>
    <row r="48" spans="1:8" s="36" customFormat="1">
      <c r="A48" s="28" t="s">
        <v>81</v>
      </c>
      <c r="B48" s="88">
        <v>2301389</v>
      </c>
      <c r="C48" s="88">
        <v>9959</v>
      </c>
      <c r="D48" s="88">
        <v>27935</v>
      </c>
      <c r="E48" s="88">
        <v>3670</v>
      </c>
      <c r="F48" s="47">
        <v>2342953</v>
      </c>
      <c r="G48" s="48">
        <v>2.3E-3</v>
      </c>
      <c r="H48" s="48">
        <v>7.3599999999999999E-2</v>
      </c>
    </row>
    <row r="49" spans="1:8" s="36" customFormat="1">
      <c r="A49" s="26" t="s">
        <v>82</v>
      </c>
      <c r="B49" s="89">
        <v>2317738</v>
      </c>
      <c r="C49" s="89">
        <v>10041</v>
      </c>
      <c r="D49" s="89">
        <v>28215</v>
      </c>
      <c r="E49" s="89">
        <v>3688</v>
      </c>
      <c r="F49" s="52">
        <v>2359682</v>
      </c>
      <c r="G49" s="53">
        <v>7.1000000000000004E-3</v>
      </c>
      <c r="H49" s="53">
        <v>8.1299999999999997E-2</v>
      </c>
    </row>
    <row r="50" spans="1:8">
      <c r="A50" s="26" t="s">
        <v>83</v>
      </c>
      <c r="B50" s="89">
        <v>2332560</v>
      </c>
      <c r="C50" s="89">
        <v>10119</v>
      </c>
      <c r="D50" s="89">
        <v>28511</v>
      </c>
      <c r="E50" s="89">
        <v>3704</v>
      </c>
      <c r="F50" s="52">
        <v>2374894</v>
      </c>
      <c r="G50" s="53">
        <v>6.4000000000000003E-3</v>
      </c>
      <c r="H50" s="53">
        <v>8.8200000000000001E-2</v>
      </c>
    </row>
    <row r="51" spans="1:8">
      <c r="A51" s="28" t="s">
        <v>84</v>
      </c>
      <c r="B51" s="88">
        <v>2342287</v>
      </c>
      <c r="C51" s="88">
        <v>10168</v>
      </c>
      <c r="D51" s="88">
        <v>28731</v>
      </c>
      <c r="E51" s="88">
        <v>3736</v>
      </c>
      <c r="F51" s="47">
        <v>2384922</v>
      </c>
      <c r="G51" s="48">
        <v>4.1999999999999997E-3</v>
      </c>
      <c r="H51" s="48">
        <v>4.1999999999999997E-3</v>
      </c>
    </row>
    <row r="52" spans="1:8">
      <c r="A52" s="28" t="s">
        <v>85</v>
      </c>
      <c r="B52" s="88">
        <v>2360501</v>
      </c>
      <c r="C52" s="88">
        <v>10238</v>
      </c>
      <c r="D52" s="88">
        <v>28947</v>
      </c>
      <c r="E52" s="88">
        <v>3740</v>
      </c>
      <c r="F52" s="47">
        <v>2403426</v>
      </c>
      <c r="G52" s="48">
        <v>7.7000000000000002E-3</v>
      </c>
      <c r="H52" s="48">
        <v>1.2E-2</v>
      </c>
    </row>
    <row r="53" spans="1:8">
      <c r="A53" s="55" t="s">
        <v>86</v>
      </c>
      <c r="B53" s="84">
        <v>2392333</v>
      </c>
      <c r="C53" s="84">
        <v>10355</v>
      </c>
      <c r="D53" s="84">
        <v>29114</v>
      </c>
      <c r="E53" s="84">
        <v>3764</v>
      </c>
      <c r="F53" s="22">
        <v>2435566</v>
      </c>
      <c r="G53" s="56">
        <v>1.34E-2</v>
      </c>
      <c r="H53" s="56">
        <v>2.5499999999999998E-2</v>
      </c>
    </row>
    <row r="54" spans="1:8">
      <c r="A54" s="33" t="s">
        <v>87</v>
      </c>
      <c r="B54" s="84">
        <v>2428985</v>
      </c>
      <c r="C54" s="84">
        <v>10424</v>
      </c>
      <c r="D54" s="84">
        <v>29114</v>
      </c>
      <c r="E54" s="84">
        <v>3764</v>
      </c>
      <c r="F54" s="22">
        <v>2472433</v>
      </c>
      <c r="G54" s="56">
        <v>1.5100000000000001E-2</v>
      </c>
      <c r="H54" s="56">
        <v>4.1099999999999998E-2</v>
      </c>
    </row>
    <row r="55" spans="1:8">
      <c r="A55" s="33" t="s">
        <v>88</v>
      </c>
      <c r="B55" s="84">
        <v>2462938</v>
      </c>
      <c r="C55" s="84">
        <v>10508</v>
      </c>
      <c r="D55" s="84">
        <v>29416</v>
      </c>
      <c r="E55" s="84">
        <v>3795</v>
      </c>
      <c r="F55" s="22">
        <v>2506657</v>
      </c>
      <c r="G55" s="56">
        <v>1.38E-2</v>
      </c>
      <c r="H55" s="56">
        <v>5.5500000000000001E-2</v>
      </c>
    </row>
    <row r="56" spans="1:8">
      <c r="A56" s="33" t="s">
        <v>89</v>
      </c>
      <c r="B56" s="84">
        <v>2497903</v>
      </c>
      <c r="C56" s="84">
        <v>10589</v>
      </c>
      <c r="D56" s="84">
        <v>29589</v>
      </c>
      <c r="E56" s="84">
        <v>3806</v>
      </c>
      <c r="F56" s="22">
        <v>2541887</v>
      </c>
      <c r="G56" s="56">
        <v>1.4E-2</v>
      </c>
      <c r="H56" s="56">
        <v>7.0300000000000001E-2</v>
      </c>
    </row>
    <row r="57" spans="1:8">
      <c r="A57" s="33" t="s">
        <v>90</v>
      </c>
      <c r="B57" s="84">
        <v>2524975</v>
      </c>
      <c r="C57" s="84">
        <v>10686</v>
      </c>
      <c r="D57" s="84">
        <v>29783</v>
      </c>
      <c r="E57" s="84">
        <v>3817</v>
      </c>
      <c r="F57" s="22">
        <v>2569261</v>
      </c>
      <c r="G57" s="56">
        <v>1.0699999999999999E-2</v>
      </c>
      <c r="H57" s="56">
        <v>8.1799999999999998E-2</v>
      </c>
    </row>
    <row r="58" spans="1:8">
      <c r="A58" s="33" t="s">
        <v>91</v>
      </c>
      <c r="B58" s="84">
        <v>2553246</v>
      </c>
      <c r="C58" s="84">
        <v>10777</v>
      </c>
      <c r="D58" s="84">
        <v>30001</v>
      </c>
      <c r="E58" s="84">
        <v>3828</v>
      </c>
      <c r="F58" s="22">
        <v>2597852</v>
      </c>
      <c r="G58" s="56">
        <v>1.11E-2</v>
      </c>
      <c r="H58" s="56">
        <v>9.3899999999999997E-2</v>
      </c>
    </row>
    <row r="59" spans="1:8">
      <c r="A59" s="35" t="s">
        <v>92</v>
      </c>
      <c r="B59" s="91">
        <v>2584586</v>
      </c>
      <c r="C59" s="91">
        <v>10855</v>
      </c>
      <c r="D59" s="91">
        <v>30249</v>
      </c>
      <c r="E59" s="103">
        <v>3871</v>
      </c>
      <c r="F59" s="27">
        <v>2629561</v>
      </c>
      <c r="G59" s="25">
        <v>1.2200000000000001E-2</v>
      </c>
      <c r="H59" s="25">
        <v>0.1072</v>
      </c>
    </row>
    <row r="60" spans="1:8">
      <c r="A60" s="33" t="s">
        <v>93</v>
      </c>
      <c r="B60" s="84">
        <v>2620932</v>
      </c>
      <c r="C60" s="84">
        <v>10960</v>
      </c>
      <c r="D60" s="84">
        <v>30506</v>
      </c>
      <c r="E60" s="84">
        <v>3885</v>
      </c>
      <c r="F60" s="22">
        <v>2666283</v>
      </c>
      <c r="G60" s="23">
        <v>1.4E-2</v>
      </c>
      <c r="H60" s="23">
        <v>0.1227</v>
      </c>
    </row>
    <row r="61" spans="1:8">
      <c r="A61" s="35" t="s">
        <v>94</v>
      </c>
      <c r="B61" s="91">
        <v>2662012</v>
      </c>
      <c r="C61" s="91">
        <v>11083</v>
      </c>
      <c r="D61" s="91">
        <v>30763</v>
      </c>
      <c r="E61" s="91">
        <v>3922</v>
      </c>
      <c r="F61" s="27">
        <v>2707780</v>
      </c>
      <c r="G61" s="25">
        <v>1.5599999999999999E-2</v>
      </c>
      <c r="H61" s="25">
        <v>0.14019999999999999</v>
      </c>
    </row>
    <row r="62" spans="1:8">
      <c r="A62" s="33" t="s">
        <v>95</v>
      </c>
      <c r="B62" s="84">
        <v>2725087</v>
      </c>
      <c r="C62" s="84">
        <v>11251</v>
      </c>
      <c r="D62" s="84">
        <v>31134</v>
      </c>
      <c r="E62" s="84">
        <v>3937</v>
      </c>
      <c r="F62" s="22">
        <v>2771409</v>
      </c>
      <c r="G62" s="23">
        <v>2.35E-2</v>
      </c>
      <c r="H62" s="23">
        <v>0.16700000000000001</v>
      </c>
    </row>
    <row r="63" spans="1:8">
      <c r="A63" s="51" t="s">
        <v>96</v>
      </c>
      <c r="B63" s="91">
        <v>2811194</v>
      </c>
      <c r="C63" s="91">
        <v>11413</v>
      </c>
      <c r="D63" s="91">
        <v>31594</v>
      </c>
      <c r="E63" s="91">
        <v>3953</v>
      </c>
      <c r="F63" s="27">
        <v>2858154</v>
      </c>
      <c r="G63" s="25">
        <v>3.1300000000000001E-2</v>
      </c>
      <c r="H63" s="25">
        <v>3.1300000000000001E-2</v>
      </c>
    </row>
    <row r="64" spans="1:8">
      <c r="A64" s="33" t="s">
        <v>97</v>
      </c>
      <c r="B64" s="84">
        <v>2868212</v>
      </c>
      <c r="C64" s="80">
        <v>11481</v>
      </c>
      <c r="D64" s="80">
        <v>31889</v>
      </c>
      <c r="E64" s="80">
        <v>3950</v>
      </c>
      <c r="F64" s="21">
        <v>2915532</v>
      </c>
      <c r="G64" s="57">
        <v>2.01E-2</v>
      </c>
      <c r="H64" s="57">
        <v>5.1999999999999998E-2</v>
      </c>
    </row>
    <row r="65" spans="1:8">
      <c r="A65" s="40" t="s">
        <v>98</v>
      </c>
      <c r="B65" s="92">
        <v>2981403</v>
      </c>
      <c r="C65" s="92">
        <v>11630</v>
      </c>
      <c r="D65" s="92">
        <v>32391</v>
      </c>
      <c r="E65" s="92">
        <v>3983</v>
      </c>
      <c r="F65" s="68">
        <v>3029407</v>
      </c>
      <c r="G65" s="58">
        <f t="shared" ref="G65:G70" si="0">(F65/F64)-1</f>
        <v>3.9058051840967556E-2</v>
      </c>
      <c r="H65" s="58">
        <f>(F65/F62)-1</f>
        <v>9.3092719263017543E-2</v>
      </c>
    </row>
    <row r="66" spans="1:8">
      <c r="A66" s="40" t="s">
        <v>99</v>
      </c>
      <c r="B66" s="92">
        <v>3091401</v>
      </c>
      <c r="C66" s="92">
        <v>11753</v>
      </c>
      <c r="D66" s="92">
        <v>32903</v>
      </c>
      <c r="E66" s="92">
        <v>4005</v>
      </c>
      <c r="F66" s="68">
        <v>3140062</v>
      </c>
      <c r="G66" s="58">
        <f t="shared" si="0"/>
        <v>3.6526950654038881E-2</v>
      </c>
      <c r="H66" s="58">
        <f>(F66/F62)-1</f>
        <v>0.13302006307982683</v>
      </c>
    </row>
    <row r="67" spans="1:8">
      <c r="A67" s="40" t="s">
        <v>100</v>
      </c>
      <c r="B67" s="92">
        <v>3204944</v>
      </c>
      <c r="C67" s="92">
        <v>11884</v>
      </c>
      <c r="D67" s="92">
        <v>33326</v>
      </c>
      <c r="E67" s="92">
        <v>4015</v>
      </c>
      <c r="F67" s="68">
        <v>3254169</v>
      </c>
      <c r="G67" s="58">
        <f t="shared" si="0"/>
        <v>3.6339091393736922E-2</v>
      </c>
      <c r="H67" s="58">
        <f>(F67/F62)-1</f>
        <v>0.17419298270302219</v>
      </c>
    </row>
    <row r="68" spans="1:8">
      <c r="A68" s="40" t="s">
        <v>101</v>
      </c>
      <c r="B68" s="92">
        <v>3344998</v>
      </c>
      <c r="C68" s="92">
        <v>12023</v>
      </c>
      <c r="D68" s="92">
        <v>33606</v>
      </c>
      <c r="E68" s="92">
        <v>4012</v>
      </c>
      <c r="F68" s="68">
        <v>3394639</v>
      </c>
      <c r="G68" s="58">
        <f t="shared" si="0"/>
        <v>4.3166166231686232E-2</v>
      </c>
      <c r="H68" s="58">
        <f>(F68/F62)-1</f>
        <v>0.2248783921824602</v>
      </c>
    </row>
    <row r="69" spans="1:8">
      <c r="A69" s="40" t="s">
        <v>102</v>
      </c>
      <c r="B69" s="92">
        <v>3446076</v>
      </c>
      <c r="C69" s="92">
        <v>12161</v>
      </c>
      <c r="D69" s="92">
        <v>33869</v>
      </c>
      <c r="E69" s="92">
        <v>4026</v>
      </c>
      <c r="F69" s="68">
        <v>3496132</v>
      </c>
      <c r="G69" s="58">
        <f t="shared" si="0"/>
        <v>2.9898024502752696E-2</v>
      </c>
      <c r="H69" s="58">
        <f>(F69/F62)-1</f>
        <v>0.26149983636482377</v>
      </c>
    </row>
    <row r="70" spans="1:8">
      <c r="A70" s="40" t="s">
        <v>103</v>
      </c>
      <c r="B70" s="92">
        <v>3566455</v>
      </c>
      <c r="C70" s="92">
        <v>12288</v>
      </c>
      <c r="D70" s="92">
        <v>34111</v>
      </c>
      <c r="E70" s="92">
        <v>4043</v>
      </c>
      <c r="F70" s="68">
        <v>3616897</v>
      </c>
      <c r="G70" s="58">
        <f t="shared" si="0"/>
        <v>3.454246006729722E-2</v>
      </c>
      <c r="H70" s="58">
        <f>(F70/F62)-1</f>
        <v>0.30507514408735781</v>
      </c>
    </row>
    <row r="71" spans="1:8">
      <c r="A71" s="40" t="s">
        <v>104</v>
      </c>
      <c r="B71" s="93">
        <v>3681168</v>
      </c>
      <c r="C71" s="93">
        <v>12385</v>
      </c>
      <c r="D71" s="93">
        <v>34232</v>
      </c>
      <c r="E71" s="93">
        <v>4074</v>
      </c>
      <c r="F71" s="68">
        <f>B71+C71+D71+E71</f>
        <v>3731859</v>
      </c>
      <c r="G71" s="58">
        <f t="shared" ref="G71" si="1">(F71/F70)-1</f>
        <v>3.1784703849736307E-2</v>
      </c>
      <c r="H71" s="58">
        <f>(F71/F62)-1</f>
        <v>0.34655657104382653</v>
      </c>
    </row>
    <row r="72" spans="1:8">
      <c r="A72" s="40" t="s">
        <v>105</v>
      </c>
      <c r="B72" s="93">
        <v>3810732</v>
      </c>
      <c r="C72" s="93">
        <v>12572</v>
      </c>
      <c r="D72" s="93">
        <v>34603</v>
      </c>
      <c r="E72" s="93">
        <v>4104</v>
      </c>
      <c r="F72" s="68">
        <f>B72+C72+D72+E72</f>
        <v>3862011</v>
      </c>
      <c r="G72" s="58">
        <f t="shared" ref="G72:G117" si="2">(F72/F71)-1</f>
        <v>3.4875915729935203E-2</v>
      </c>
      <c r="H72" s="58">
        <f>(F72/F62)-1</f>
        <v>0.39351896454114144</v>
      </c>
    </row>
    <row r="73" spans="1:8">
      <c r="A73" s="40" t="s">
        <v>106</v>
      </c>
      <c r="B73" s="93">
        <v>4031334</v>
      </c>
      <c r="C73" s="93">
        <v>12787</v>
      </c>
      <c r="D73" s="93">
        <v>35076</v>
      </c>
      <c r="E73" s="93">
        <v>4128</v>
      </c>
      <c r="F73" s="69">
        <v>4083325</v>
      </c>
      <c r="G73" s="58">
        <f t="shared" si="2"/>
        <v>5.7305377949467218E-2</v>
      </c>
      <c r="H73" s="58">
        <f>(F73/$F$62)-1</f>
        <v>0.47337509548392176</v>
      </c>
    </row>
    <row r="74" spans="1:8">
      <c r="A74" s="40" t="s">
        <v>107</v>
      </c>
      <c r="B74" s="94">
        <v>4257724</v>
      </c>
      <c r="C74" s="92">
        <v>12977</v>
      </c>
      <c r="D74" s="94">
        <v>35374</v>
      </c>
      <c r="E74" s="94">
        <v>4136</v>
      </c>
      <c r="F74" s="70">
        <f>B74+C74+D74+E74</f>
        <v>4310211</v>
      </c>
      <c r="G74" s="58">
        <f t="shared" si="2"/>
        <v>5.5564031763330135E-2</v>
      </c>
      <c r="H74" s="58">
        <f>(F74/$F$62)-1</f>
        <v>0.55524175608868998</v>
      </c>
    </row>
    <row r="75" spans="1:8">
      <c r="A75" s="40" t="s">
        <v>108</v>
      </c>
      <c r="B75" s="92">
        <v>4452029</v>
      </c>
      <c r="C75" s="92">
        <v>13187</v>
      </c>
      <c r="D75" s="92">
        <v>35676</v>
      </c>
      <c r="E75" s="92">
        <v>4154</v>
      </c>
      <c r="F75" s="70">
        <f t="shared" ref="F75:F76" si="3">B75+C75+D75+E75</f>
        <v>4505046</v>
      </c>
      <c r="G75" s="58">
        <f t="shared" si="2"/>
        <v>4.5203123466577289E-2</v>
      </c>
      <c r="H75" s="58">
        <f>(F75/$F$74)-1</f>
        <v>4.5203123466577289E-2</v>
      </c>
    </row>
    <row r="76" spans="1:8">
      <c r="A76" s="40" t="s">
        <v>109</v>
      </c>
      <c r="B76" s="92">
        <v>4662794</v>
      </c>
      <c r="C76" s="92">
        <v>13305</v>
      </c>
      <c r="D76" s="92">
        <v>35920</v>
      </c>
      <c r="E76" s="92">
        <v>4172</v>
      </c>
      <c r="F76" s="70">
        <f t="shared" si="3"/>
        <v>4716191</v>
      </c>
      <c r="G76" s="58">
        <f t="shared" si="2"/>
        <v>4.686855583716576E-2</v>
      </c>
      <c r="H76" s="58">
        <f t="shared" ref="H76:H86" si="4">(F76/$F$74)-1</f>
        <v>9.4190284419950698E-2</v>
      </c>
    </row>
    <row r="77" spans="1:8">
      <c r="A77" s="40" t="s">
        <v>110</v>
      </c>
      <c r="B77" s="92">
        <v>4932805</v>
      </c>
      <c r="C77" s="92">
        <v>13511</v>
      </c>
      <c r="D77" s="92">
        <v>36313</v>
      </c>
      <c r="E77" s="92">
        <v>4198</v>
      </c>
      <c r="F77" s="70">
        <f t="shared" ref="F77:F117" si="5">B77+C77+D77+E77</f>
        <v>4986827</v>
      </c>
      <c r="G77" s="58">
        <f t="shared" si="2"/>
        <v>5.738444435350476E-2</v>
      </c>
      <c r="H77" s="58">
        <f t="shared" si="4"/>
        <v>0.15697978590839279</v>
      </c>
    </row>
    <row r="78" spans="1:8">
      <c r="A78" s="51" t="s">
        <v>111</v>
      </c>
      <c r="B78" s="95">
        <v>5163570</v>
      </c>
      <c r="C78" s="95">
        <v>13670</v>
      </c>
      <c r="D78" s="95">
        <v>36642</v>
      </c>
      <c r="E78" s="95">
        <v>4220</v>
      </c>
      <c r="F78" s="70">
        <f t="shared" si="5"/>
        <v>5218102</v>
      </c>
      <c r="G78" s="58">
        <f t="shared" si="2"/>
        <v>4.6377185332477033E-2</v>
      </c>
      <c r="H78" s="58">
        <f t="shared" si="4"/>
        <v>0.21063725186539584</v>
      </c>
    </row>
    <row r="79" spans="1:8">
      <c r="A79" s="40" t="s">
        <v>112</v>
      </c>
      <c r="B79" s="96">
        <v>5639902</v>
      </c>
      <c r="C79" s="94">
        <v>13793</v>
      </c>
      <c r="D79" s="94">
        <v>36940</v>
      </c>
      <c r="E79" s="94">
        <v>4178</v>
      </c>
      <c r="F79" s="70">
        <f t="shared" si="5"/>
        <v>5694813</v>
      </c>
      <c r="G79" s="58">
        <f t="shared" si="2"/>
        <v>9.1357163964981947E-2</v>
      </c>
      <c r="H79" s="58">
        <f t="shared" si="4"/>
        <v>0.32123763778617809</v>
      </c>
    </row>
    <row r="80" spans="1:8" ht="15.75">
      <c r="A80" s="59" t="s">
        <v>113</v>
      </c>
      <c r="B80" s="97">
        <v>6105973</v>
      </c>
      <c r="C80" s="97">
        <v>13938</v>
      </c>
      <c r="D80" s="97">
        <v>37208</v>
      </c>
      <c r="E80" s="97">
        <v>4177</v>
      </c>
      <c r="F80" s="70">
        <f t="shared" si="5"/>
        <v>6161296</v>
      </c>
      <c r="G80" s="58">
        <f t="shared" si="2"/>
        <v>8.191366424147728E-2</v>
      </c>
      <c r="H80" s="58">
        <f t="shared" si="4"/>
        <v>0.42946505403099766</v>
      </c>
    </row>
    <row r="81" spans="1:8">
      <c r="A81" s="40" t="s">
        <v>114</v>
      </c>
      <c r="B81" s="92">
        <v>6301682</v>
      </c>
      <c r="C81" s="92">
        <v>14019</v>
      </c>
      <c r="D81" s="92">
        <v>37593</v>
      </c>
      <c r="E81" s="92">
        <v>4200</v>
      </c>
      <c r="F81" s="70">
        <f t="shared" si="5"/>
        <v>6357494</v>
      </c>
      <c r="G81" s="58">
        <f t="shared" si="2"/>
        <v>3.1843625107444984E-2</v>
      </c>
      <c r="H81" s="58">
        <f t="shared" si="4"/>
        <v>0.4749844033157542</v>
      </c>
    </row>
    <row r="82" spans="1:8">
      <c r="A82" s="40" t="s">
        <v>115</v>
      </c>
      <c r="B82" s="92">
        <v>6454080</v>
      </c>
      <c r="C82" s="92">
        <v>14188</v>
      </c>
      <c r="D82" s="92">
        <v>37860</v>
      </c>
      <c r="E82" s="92">
        <v>4239</v>
      </c>
      <c r="F82" s="70">
        <f t="shared" si="5"/>
        <v>6510367</v>
      </c>
      <c r="G82" s="58">
        <f t="shared" si="2"/>
        <v>2.4046109992396314E-2</v>
      </c>
      <c r="H82" s="58">
        <f t="shared" si="4"/>
        <v>0.51045204051495396</v>
      </c>
    </row>
    <row r="83" spans="1:8">
      <c r="A83" s="40" t="s">
        <v>116</v>
      </c>
      <c r="B83" s="92">
        <v>6556224</v>
      </c>
      <c r="C83" s="92">
        <v>13187</v>
      </c>
      <c r="D83" s="92">
        <v>35676</v>
      </c>
      <c r="E83" s="92">
        <v>4154</v>
      </c>
      <c r="F83" s="70">
        <f t="shared" si="5"/>
        <v>6609241</v>
      </c>
      <c r="G83" s="58">
        <f t="shared" si="2"/>
        <v>1.5187162259823417E-2</v>
      </c>
      <c r="H83" s="58">
        <f t="shared" si="4"/>
        <v>0.53339152073993601</v>
      </c>
    </row>
    <row r="84" spans="1:8">
      <c r="A84" s="60" t="s">
        <v>117</v>
      </c>
      <c r="B84" s="92">
        <v>6652514</v>
      </c>
      <c r="C84" s="92">
        <v>14425</v>
      </c>
      <c r="D84" s="92">
        <v>37959</v>
      </c>
      <c r="E84" s="92">
        <v>4283</v>
      </c>
      <c r="F84" s="70">
        <f t="shared" si="5"/>
        <v>6709181</v>
      </c>
      <c r="G84" s="58">
        <f t="shared" si="2"/>
        <v>1.5121252198247781E-2</v>
      </c>
      <c r="H84" s="58">
        <f t="shared" si="4"/>
        <v>0.55657832064369939</v>
      </c>
    </row>
    <row r="85" spans="1:8">
      <c r="A85" s="60" t="s">
        <v>118</v>
      </c>
      <c r="B85" s="92">
        <v>6740848</v>
      </c>
      <c r="C85" s="92">
        <v>14570</v>
      </c>
      <c r="D85" s="92">
        <v>38158</v>
      </c>
      <c r="E85" s="92">
        <v>4300</v>
      </c>
      <c r="F85" s="70">
        <f t="shared" si="5"/>
        <v>6797876</v>
      </c>
      <c r="G85" s="58">
        <f t="shared" si="2"/>
        <v>1.3219944431369424E-2</v>
      </c>
      <c r="H85" s="58">
        <f t="shared" si="4"/>
        <v>0.57715619954568353</v>
      </c>
    </row>
    <row r="86" spans="1:8">
      <c r="A86" s="60" t="s">
        <v>119</v>
      </c>
      <c r="B86" s="92">
        <v>6839633</v>
      </c>
      <c r="C86" s="92">
        <v>14727</v>
      </c>
      <c r="D86" s="92">
        <v>38383</v>
      </c>
      <c r="E86" s="92">
        <v>4328</v>
      </c>
      <c r="F86" s="70">
        <f t="shared" si="5"/>
        <v>6897071</v>
      </c>
      <c r="G86" s="58">
        <f t="shared" si="2"/>
        <v>1.4592057872194086E-2</v>
      </c>
      <c r="H86" s="58">
        <f t="shared" si="4"/>
        <v>0.60017015408294405</v>
      </c>
    </row>
    <row r="87" spans="1:8">
      <c r="A87" s="61" t="s">
        <v>120</v>
      </c>
      <c r="B87" s="98">
        <v>6875446</v>
      </c>
      <c r="C87" s="98">
        <v>14954</v>
      </c>
      <c r="D87" s="98">
        <v>38516</v>
      </c>
      <c r="E87" s="98">
        <v>4337</v>
      </c>
      <c r="F87" s="70">
        <f t="shared" si="5"/>
        <v>6933253</v>
      </c>
      <c r="G87" s="58">
        <f t="shared" si="2"/>
        <v>5.245995002806314E-3</v>
      </c>
      <c r="H87" s="58">
        <f>(F87/$F$86)-1</f>
        <v>5.245995002806314E-3</v>
      </c>
    </row>
    <row r="88" spans="1:8">
      <c r="A88" s="62" t="s">
        <v>121</v>
      </c>
      <c r="B88" s="92">
        <v>6939177</v>
      </c>
      <c r="C88" s="92">
        <v>15087</v>
      </c>
      <c r="D88" s="92">
        <v>38667</v>
      </c>
      <c r="E88" s="92">
        <v>4362</v>
      </c>
      <c r="F88" s="70">
        <f t="shared" si="5"/>
        <v>6997293</v>
      </c>
      <c r="G88" s="58">
        <f t="shared" si="2"/>
        <v>9.2366454822865318E-3</v>
      </c>
      <c r="H88" s="58">
        <f>(F88/$F$86)-1</f>
        <v>1.4531095881135547E-2</v>
      </c>
    </row>
    <row r="89" spans="1:8">
      <c r="A89" s="62" t="s">
        <v>122</v>
      </c>
      <c r="B89" s="92">
        <v>6978605</v>
      </c>
      <c r="C89" s="92">
        <v>15211</v>
      </c>
      <c r="D89" s="92">
        <v>38897</v>
      </c>
      <c r="E89" s="92">
        <v>4382</v>
      </c>
      <c r="F89" s="70">
        <f t="shared" si="5"/>
        <v>7037095</v>
      </c>
      <c r="G89" s="58">
        <f t="shared" si="2"/>
        <v>5.6881997080870939E-3</v>
      </c>
      <c r="H89" s="58">
        <f>(F89/$F$86)-1</f>
        <v>2.0301951364571913E-2</v>
      </c>
    </row>
    <row r="90" spans="1:8">
      <c r="A90" s="40" t="s">
        <v>123</v>
      </c>
      <c r="B90" s="92">
        <v>7001243</v>
      </c>
      <c r="C90" s="92">
        <v>15313</v>
      </c>
      <c r="D90" s="92">
        <v>39068</v>
      </c>
      <c r="E90" s="92">
        <v>4397</v>
      </c>
      <c r="F90" s="70">
        <f t="shared" si="5"/>
        <v>7060021</v>
      </c>
      <c r="G90" s="58">
        <f t="shared" si="2"/>
        <v>3.2578784285277607E-3</v>
      </c>
      <c r="H90" s="58">
        <f>(F90/$F$86)-1</f>
        <v>2.3625971082507302E-2</v>
      </c>
    </row>
    <row r="91" spans="1:8">
      <c r="A91" s="40" t="s">
        <v>124</v>
      </c>
      <c r="B91" s="92">
        <v>7105867</v>
      </c>
      <c r="C91" s="92">
        <v>15434</v>
      </c>
      <c r="D91" s="92">
        <v>39276</v>
      </c>
      <c r="E91" s="92">
        <v>4410</v>
      </c>
      <c r="F91" s="70">
        <f t="shared" si="5"/>
        <v>7164987</v>
      </c>
      <c r="G91" s="58">
        <f t="shared" si="2"/>
        <v>1.4867661158515011E-2</v>
      </c>
      <c r="H91" s="58">
        <f t="shared" ref="H91:H98" si="6">(F91/$F$86)-1</f>
        <v>3.8844895173617999E-2</v>
      </c>
    </row>
    <row r="92" spans="1:8">
      <c r="A92" s="40" t="s">
        <v>125</v>
      </c>
      <c r="B92" s="92">
        <v>7251723</v>
      </c>
      <c r="C92" s="92">
        <v>15442</v>
      </c>
      <c r="D92" s="92">
        <v>39450</v>
      </c>
      <c r="E92" s="92">
        <v>4432</v>
      </c>
      <c r="F92" s="70">
        <f t="shared" si="5"/>
        <v>7311047</v>
      </c>
      <c r="G92" s="58">
        <f t="shared" si="2"/>
        <v>2.0385242848312224E-2</v>
      </c>
      <c r="H92" s="58">
        <f t="shared" si="6"/>
        <v>6.0022000643461526E-2</v>
      </c>
    </row>
    <row r="93" spans="1:8">
      <c r="A93" s="40" t="s">
        <v>126</v>
      </c>
      <c r="B93" s="92">
        <v>7402074</v>
      </c>
      <c r="C93" s="92">
        <v>15498</v>
      </c>
      <c r="D93" s="92">
        <v>39634</v>
      </c>
      <c r="E93" s="92">
        <v>4460</v>
      </c>
      <c r="F93" s="70">
        <f t="shared" si="5"/>
        <v>7461666</v>
      </c>
      <c r="G93" s="58">
        <f t="shared" si="2"/>
        <v>2.0601563633772191E-2</v>
      </c>
      <c r="H93" s="58">
        <f t="shared" si="6"/>
        <v>8.1860111342916486E-2</v>
      </c>
    </row>
    <row r="94" spans="1:8">
      <c r="A94" s="40" t="s">
        <v>127</v>
      </c>
      <c r="B94" s="92">
        <v>7590239</v>
      </c>
      <c r="C94" s="92">
        <v>15631</v>
      </c>
      <c r="D94" s="92">
        <v>39943</v>
      </c>
      <c r="E94" s="92">
        <v>4488</v>
      </c>
      <c r="F94" s="70">
        <f t="shared" si="5"/>
        <v>7650301</v>
      </c>
      <c r="G94" s="58">
        <f t="shared" si="2"/>
        <v>2.5280547266522069E-2</v>
      </c>
      <c r="H94" s="58">
        <f t="shared" si="6"/>
        <v>0.10921012702348576</v>
      </c>
    </row>
    <row r="95" spans="1:8">
      <c r="A95" s="40" t="s">
        <v>128</v>
      </c>
      <c r="B95" s="92">
        <v>7762844</v>
      </c>
      <c r="C95" s="92">
        <v>15721</v>
      </c>
      <c r="D95" s="92">
        <v>40200</v>
      </c>
      <c r="E95" s="92">
        <v>4506</v>
      </c>
      <c r="F95" s="70">
        <f t="shared" si="5"/>
        <v>7823271</v>
      </c>
      <c r="G95" s="58">
        <f t="shared" si="2"/>
        <v>2.26095679111189E-2</v>
      </c>
      <c r="H95" s="58">
        <f t="shared" si="6"/>
        <v>0.13428888871812394</v>
      </c>
    </row>
    <row r="96" spans="1:8">
      <c r="A96" s="40" t="s">
        <v>129</v>
      </c>
      <c r="B96" s="92">
        <v>7384707</v>
      </c>
      <c r="C96" s="92">
        <v>15885</v>
      </c>
      <c r="D96" s="92">
        <v>40429</v>
      </c>
      <c r="E96" s="92">
        <v>4523</v>
      </c>
      <c r="F96" s="70">
        <f t="shared" si="5"/>
        <v>7445544</v>
      </c>
      <c r="G96" s="58">
        <f t="shared" si="2"/>
        <v>-4.8282489511100923E-2</v>
      </c>
      <c r="H96" s="58">
        <f t="shared" si="6"/>
        <v>7.9522597346032731E-2</v>
      </c>
    </row>
    <row r="97" spans="1:8">
      <c r="A97" s="40" t="s">
        <v>130</v>
      </c>
      <c r="B97" s="92">
        <v>7191502</v>
      </c>
      <c r="C97" s="92">
        <v>16045</v>
      </c>
      <c r="D97" s="92">
        <v>40662</v>
      </c>
      <c r="E97" s="92">
        <v>4534</v>
      </c>
      <c r="F97" s="70">
        <f t="shared" si="5"/>
        <v>7252743</v>
      </c>
      <c r="G97" s="58">
        <f t="shared" si="2"/>
        <v>-2.5894817087911859E-2</v>
      </c>
      <c r="H97" s="58">
        <f t="shared" si="6"/>
        <v>5.1568557145489802E-2</v>
      </c>
    </row>
    <row r="98" spans="1:8">
      <c r="A98" s="40" t="s">
        <v>131</v>
      </c>
      <c r="B98" s="92">
        <v>7230742</v>
      </c>
      <c r="C98" s="92">
        <v>16235</v>
      </c>
      <c r="D98" s="92">
        <v>40833</v>
      </c>
      <c r="E98" s="92">
        <v>4551</v>
      </c>
      <c r="F98" s="70">
        <f t="shared" si="5"/>
        <v>7292361</v>
      </c>
      <c r="G98" s="58">
        <f t="shared" si="2"/>
        <v>5.4624850211844045E-3</v>
      </c>
      <c r="H98" s="58">
        <f t="shared" si="6"/>
        <v>5.7312734637645413E-2</v>
      </c>
    </row>
    <row r="99" spans="1:8">
      <c r="A99" s="40" t="s">
        <v>132</v>
      </c>
      <c r="B99" s="92">
        <v>7355790</v>
      </c>
      <c r="C99" s="92">
        <v>16356</v>
      </c>
      <c r="D99" s="92">
        <v>41014</v>
      </c>
      <c r="E99" s="92">
        <v>4557</v>
      </c>
      <c r="F99" s="70">
        <f t="shared" si="5"/>
        <v>7417717</v>
      </c>
      <c r="G99" s="58">
        <f t="shared" si="2"/>
        <v>1.7190043114980291E-2</v>
      </c>
      <c r="H99" s="58">
        <f>(F99/$F$98)-1</f>
        <v>1.7190043114980291E-2</v>
      </c>
    </row>
    <row r="100" spans="1:8">
      <c r="A100" s="40" t="s">
        <v>133</v>
      </c>
      <c r="B100" s="92">
        <v>7468887</v>
      </c>
      <c r="C100" s="92">
        <v>16434</v>
      </c>
      <c r="D100" s="92">
        <v>41131</v>
      </c>
      <c r="E100" s="92">
        <v>4546</v>
      </c>
      <c r="F100" s="70">
        <f t="shared" si="5"/>
        <v>7530998</v>
      </c>
      <c r="G100" s="58">
        <f t="shared" si="2"/>
        <v>1.5271679952201023E-2</v>
      </c>
      <c r="H100" s="58">
        <f>(F100/$F$98)-1</f>
        <v>3.2724243903997641E-2</v>
      </c>
    </row>
    <row r="101" spans="1:8">
      <c r="A101" s="40" t="s">
        <v>135</v>
      </c>
      <c r="B101" s="92">
        <v>7632411</v>
      </c>
      <c r="C101" s="92">
        <v>16531</v>
      </c>
      <c r="D101" s="92">
        <v>41343</v>
      </c>
      <c r="E101" s="92">
        <v>4552</v>
      </c>
      <c r="F101" s="70">
        <f t="shared" si="5"/>
        <v>7694837</v>
      </c>
      <c r="G101" s="58">
        <f t="shared" si="2"/>
        <v>2.1755283961036875E-2</v>
      </c>
      <c r="H101" s="58">
        <f t="shared" ref="H101:H110" si="7">(F101/$F$98)-1</f>
        <v>5.5191453083575981E-2</v>
      </c>
    </row>
    <row r="102" spans="1:8">
      <c r="A102" s="40" t="s">
        <v>134</v>
      </c>
      <c r="B102" s="92">
        <v>7743033</v>
      </c>
      <c r="C102" s="92">
        <v>16670</v>
      </c>
      <c r="D102" s="92">
        <v>41595</v>
      </c>
      <c r="E102" s="92">
        <v>4542</v>
      </c>
      <c r="F102" s="70">
        <f t="shared" si="5"/>
        <v>7805840</v>
      </c>
      <c r="G102" s="58">
        <f t="shared" si="2"/>
        <v>1.4425646703107642E-2</v>
      </c>
      <c r="H102" s="58">
        <f t="shared" si="7"/>
        <v>7.0413272189898457E-2</v>
      </c>
    </row>
    <row r="103" spans="1:8">
      <c r="A103" s="40" t="s">
        <v>136</v>
      </c>
      <c r="B103" s="92">
        <v>7874872</v>
      </c>
      <c r="C103" s="92">
        <v>16841</v>
      </c>
      <c r="D103" s="92">
        <v>41812</v>
      </c>
      <c r="E103" s="92">
        <v>4535</v>
      </c>
      <c r="F103" s="70">
        <f t="shared" si="5"/>
        <v>7938060</v>
      </c>
      <c r="G103" s="58">
        <f t="shared" si="2"/>
        <v>1.6938599817572397E-2</v>
      </c>
      <c r="H103" s="58">
        <f t="shared" si="7"/>
        <v>8.854457424694151E-2</v>
      </c>
    </row>
    <row r="104" spans="1:8">
      <c r="A104" s="40" t="s">
        <v>137</v>
      </c>
      <c r="B104" s="99">
        <v>7981289</v>
      </c>
      <c r="C104" s="99">
        <v>17004</v>
      </c>
      <c r="D104" s="99">
        <v>41980</v>
      </c>
      <c r="E104" s="99">
        <v>4552</v>
      </c>
      <c r="F104" s="70">
        <f t="shared" si="5"/>
        <v>8044825</v>
      </c>
      <c r="G104" s="58">
        <f t="shared" si="2"/>
        <v>1.3449759764980307E-2</v>
      </c>
      <c r="H104" s="58">
        <f t="shared" si="7"/>
        <v>0.10318523726403561</v>
      </c>
    </row>
    <row r="105" spans="1:8">
      <c r="A105" s="40" t="s">
        <v>138</v>
      </c>
      <c r="B105" s="92">
        <v>8311125</v>
      </c>
      <c r="C105" s="92">
        <v>17150</v>
      </c>
      <c r="D105" s="92">
        <v>42184</v>
      </c>
      <c r="E105" s="92">
        <v>4565</v>
      </c>
      <c r="F105" s="70">
        <f t="shared" si="5"/>
        <v>8375024</v>
      </c>
      <c r="G105" s="58">
        <f t="shared" si="2"/>
        <v>4.104489532090505E-2</v>
      </c>
      <c r="H105" s="58">
        <f t="shared" si="7"/>
        <v>0.14846535984710574</v>
      </c>
    </row>
    <row r="106" spans="1:8">
      <c r="A106" s="40" t="s">
        <v>139</v>
      </c>
      <c r="B106" s="92">
        <v>8641944</v>
      </c>
      <c r="C106" s="92">
        <v>17281</v>
      </c>
      <c r="D106" s="92">
        <v>42446</v>
      </c>
      <c r="E106" s="92">
        <v>4558</v>
      </c>
      <c r="F106" s="70">
        <f t="shared" si="5"/>
        <v>8706229</v>
      </c>
      <c r="G106" s="58">
        <f t="shared" si="2"/>
        <v>3.9546752343635028E-2</v>
      </c>
      <c r="H106" s="58">
        <f t="shared" si="7"/>
        <v>0.19388343500822303</v>
      </c>
    </row>
    <row r="107" spans="1:8">
      <c r="A107" s="40" t="s">
        <v>140</v>
      </c>
      <c r="B107" s="92">
        <v>8800156</v>
      </c>
      <c r="C107" s="92">
        <v>17371</v>
      </c>
      <c r="D107" s="92">
        <v>42626</v>
      </c>
      <c r="E107" s="92">
        <v>4580</v>
      </c>
      <c r="F107" s="70">
        <f t="shared" si="5"/>
        <v>8864733</v>
      </c>
      <c r="G107" s="58">
        <f t="shared" si="2"/>
        <v>1.8205815629246613E-2</v>
      </c>
      <c r="H107" s="58">
        <f t="shared" si="7"/>
        <v>0.21561905670879433</v>
      </c>
    </row>
    <row r="108" spans="1:8">
      <c r="A108" s="40" t="s">
        <v>141</v>
      </c>
      <c r="B108" s="92">
        <v>8956724</v>
      </c>
      <c r="C108" s="92">
        <v>17492</v>
      </c>
      <c r="D108" s="92">
        <v>42828</v>
      </c>
      <c r="E108" s="92">
        <v>4608</v>
      </c>
      <c r="F108" s="70">
        <f t="shared" si="5"/>
        <v>9021652</v>
      </c>
      <c r="G108" s="58">
        <f t="shared" si="2"/>
        <v>1.7701491968229677E-2</v>
      </c>
      <c r="H108" s="58">
        <f t="shared" si="7"/>
        <v>0.23713732767755191</v>
      </c>
    </row>
    <row r="109" spans="1:8">
      <c r="A109" s="40" t="s">
        <v>142</v>
      </c>
      <c r="B109" s="92">
        <v>9091912</v>
      </c>
      <c r="C109" s="92">
        <v>17599</v>
      </c>
      <c r="D109" s="92">
        <v>42976</v>
      </c>
      <c r="E109" s="92">
        <v>4622</v>
      </c>
      <c r="F109" s="70">
        <f t="shared" si="5"/>
        <v>9157109</v>
      </c>
      <c r="G109" s="58">
        <f t="shared" si="2"/>
        <v>1.5014655852387149E-2</v>
      </c>
      <c r="H109" s="58">
        <f t="shared" si="7"/>
        <v>0.2557125188947722</v>
      </c>
    </row>
    <row r="110" spans="1:8">
      <c r="A110" s="40" t="s">
        <v>143</v>
      </c>
      <c r="B110" s="92">
        <v>9232471</v>
      </c>
      <c r="C110" s="92">
        <v>17737</v>
      </c>
      <c r="D110" s="92">
        <v>43138</v>
      </c>
      <c r="E110" s="92">
        <v>4642</v>
      </c>
      <c r="F110" s="70">
        <f t="shared" si="5"/>
        <v>9297988</v>
      </c>
      <c r="G110" s="58">
        <f t="shared" si="2"/>
        <v>1.5384659066524087E-2</v>
      </c>
      <c r="H110" s="58">
        <f t="shared" si="7"/>
        <v>0.27503122788353451</v>
      </c>
    </row>
    <row r="111" spans="1:8">
      <c r="A111" s="40" t="s">
        <v>144</v>
      </c>
      <c r="B111" s="100">
        <v>9312987</v>
      </c>
      <c r="C111" s="100">
        <v>17779</v>
      </c>
      <c r="D111" s="100">
        <v>43293</v>
      </c>
      <c r="E111" s="100">
        <v>4647</v>
      </c>
      <c r="F111" s="70">
        <f t="shared" si="5"/>
        <v>9378706</v>
      </c>
      <c r="G111" s="58">
        <f t="shared" si="2"/>
        <v>8.6812329721226433E-3</v>
      </c>
      <c r="H111" s="58">
        <f t="shared" ref="H111:H117" si="8">(F111/$F$110)-1</f>
        <v>8.6812329721226433E-3</v>
      </c>
    </row>
    <row r="112" spans="1:8">
      <c r="A112" s="40" t="s">
        <v>145</v>
      </c>
      <c r="B112" s="92">
        <v>9462789</v>
      </c>
      <c r="C112" s="92">
        <v>17840</v>
      </c>
      <c r="D112" s="92">
        <v>43419</v>
      </c>
      <c r="E112" s="92">
        <v>4649</v>
      </c>
      <c r="F112" s="70">
        <f t="shared" si="5"/>
        <v>9528697</v>
      </c>
      <c r="G112" s="58">
        <f t="shared" si="2"/>
        <v>1.5992717971967663E-2</v>
      </c>
      <c r="H112" s="58">
        <f t="shared" si="8"/>
        <v>2.48127874546622E-2</v>
      </c>
    </row>
    <row r="113" spans="1:10">
      <c r="A113" s="40" t="s">
        <v>146</v>
      </c>
      <c r="B113" s="92">
        <v>9619790</v>
      </c>
      <c r="C113" s="92">
        <v>18028</v>
      </c>
      <c r="D113" s="92">
        <v>43604</v>
      </c>
      <c r="E113" s="92">
        <v>4655</v>
      </c>
      <c r="F113" s="70">
        <f t="shared" si="5"/>
        <v>9686077</v>
      </c>
      <c r="G113" s="58">
        <f t="shared" si="2"/>
        <v>1.6516424018939935E-2</v>
      </c>
      <c r="H113" s="58">
        <f t="shared" si="8"/>
        <v>4.1739029992295062E-2</v>
      </c>
    </row>
    <row r="114" spans="1:10">
      <c r="A114" s="40" t="s">
        <v>147</v>
      </c>
      <c r="B114" s="92">
        <v>9813738</v>
      </c>
      <c r="C114" s="92">
        <v>18129</v>
      </c>
      <c r="D114" s="92">
        <v>43552</v>
      </c>
      <c r="E114" s="92">
        <v>4681</v>
      </c>
      <c r="F114" s="70">
        <f t="shared" si="5"/>
        <v>9880100</v>
      </c>
      <c r="G114" s="58">
        <f t="shared" si="2"/>
        <v>2.0031123023283914E-2</v>
      </c>
      <c r="H114" s="58">
        <f t="shared" si="8"/>
        <v>6.2606232660227246E-2</v>
      </c>
    </row>
    <row r="115" spans="1:10">
      <c r="A115" s="40" t="s">
        <v>148</v>
      </c>
      <c r="B115" s="101">
        <v>10004372</v>
      </c>
      <c r="C115" s="101">
        <v>18173</v>
      </c>
      <c r="D115" s="101">
        <v>43738</v>
      </c>
      <c r="E115" s="101">
        <v>4669</v>
      </c>
      <c r="F115" s="70">
        <f t="shared" si="5"/>
        <v>10070952</v>
      </c>
      <c r="G115" s="58">
        <f t="shared" si="2"/>
        <v>1.9316808534326491E-2</v>
      </c>
      <c r="H115" s="58">
        <f t="shared" si="8"/>
        <v>8.3132393803906801E-2</v>
      </c>
    </row>
    <row r="116" spans="1:10">
      <c r="A116" s="40" t="s">
        <v>149</v>
      </c>
      <c r="B116" s="92">
        <v>10202994</v>
      </c>
      <c r="C116" s="92">
        <v>18339</v>
      </c>
      <c r="D116" s="92">
        <v>43924</v>
      </c>
      <c r="E116" s="92">
        <v>4669</v>
      </c>
      <c r="F116" s="70">
        <f t="shared" si="5"/>
        <v>10269926</v>
      </c>
      <c r="G116" s="58">
        <f t="shared" si="2"/>
        <v>1.9757218582711955E-2</v>
      </c>
      <c r="H116" s="58">
        <f t="shared" si="8"/>
        <v>0.10453207726230662</v>
      </c>
    </row>
    <row r="117" spans="1:10">
      <c r="A117" s="40" t="s">
        <v>150</v>
      </c>
      <c r="B117" s="101">
        <v>10428983</v>
      </c>
      <c r="C117" s="101">
        <v>18503</v>
      </c>
      <c r="D117" s="101">
        <v>44103</v>
      </c>
      <c r="E117" s="101">
        <v>4678</v>
      </c>
      <c r="F117" s="70">
        <f t="shared" si="5"/>
        <v>10496267</v>
      </c>
      <c r="G117" s="58">
        <f t="shared" si="2"/>
        <v>2.2039204566809856E-2</v>
      </c>
      <c r="H117" s="58">
        <f t="shared" si="8"/>
        <v>0.12887508566369421</v>
      </c>
    </row>
    <row r="118" spans="1:10">
      <c r="A118" s="40" t="s">
        <v>151</v>
      </c>
      <c r="B118" s="102">
        <v>10686178</v>
      </c>
      <c r="C118" s="102">
        <v>18667</v>
      </c>
      <c r="D118" s="102">
        <v>44352</v>
      </c>
      <c r="E118" s="102">
        <v>4702</v>
      </c>
      <c r="F118" s="70">
        <v>10753899</v>
      </c>
      <c r="G118" s="58">
        <v>2.4500000000000001E-2</v>
      </c>
      <c r="H118" s="58">
        <v>0.15659999999999999</v>
      </c>
    </row>
    <row r="119" spans="1:10">
      <c r="A119" s="40" t="s">
        <v>152</v>
      </c>
      <c r="B119" s="92">
        <v>10975831</v>
      </c>
      <c r="C119" s="92">
        <v>18772</v>
      </c>
      <c r="D119" s="92">
        <v>44598</v>
      </c>
      <c r="E119" s="92">
        <v>4724</v>
      </c>
      <c r="F119" s="70">
        <v>11043925</v>
      </c>
      <c r="G119" s="104">
        <v>2.7E-2</v>
      </c>
      <c r="H119" s="104">
        <v>0.18779999999999999</v>
      </c>
    </row>
    <row r="120" spans="1:10">
      <c r="A120" s="40" t="s">
        <v>153</v>
      </c>
      <c r="B120" s="92">
        <v>11286327</v>
      </c>
      <c r="C120" s="92">
        <v>18927</v>
      </c>
      <c r="D120" s="92">
        <v>44879</v>
      </c>
      <c r="E120" s="92">
        <v>4740</v>
      </c>
      <c r="F120" s="70">
        <v>11354873</v>
      </c>
      <c r="G120" s="104">
        <v>2.8199999999999999E-2</v>
      </c>
      <c r="H120" s="104">
        <v>0.22120000000000001</v>
      </c>
    </row>
    <row r="121" spans="1:10">
      <c r="A121" s="40" t="s">
        <v>154</v>
      </c>
      <c r="B121" s="92">
        <v>11523289</v>
      </c>
      <c r="C121" s="92">
        <v>19073</v>
      </c>
      <c r="D121" s="92">
        <v>45124</v>
      </c>
      <c r="E121" s="92">
        <v>4765</v>
      </c>
      <c r="F121" s="70">
        <v>11592251</v>
      </c>
      <c r="G121" s="104">
        <v>2.0899999999999998E-2</v>
      </c>
      <c r="H121" s="104">
        <v>0.2467</v>
      </c>
    </row>
    <row r="122" spans="1:10">
      <c r="A122" s="40" t="s">
        <v>155</v>
      </c>
      <c r="B122" s="92">
        <v>11802531</v>
      </c>
      <c r="C122" s="92">
        <v>19214</v>
      </c>
      <c r="D122" s="92">
        <v>45411</v>
      </c>
      <c r="E122" s="92">
        <v>4777</v>
      </c>
      <c r="F122" s="70">
        <v>11871933</v>
      </c>
      <c r="G122" s="104">
        <v>2.41E-2</v>
      </c>
      <c r="H122" s="104">
        <v>0.27679999999999999</v>
      </c>
    </row>
    <row r="123" spans="1:10">
      <c r="A123" s="40" t="s">
        <v>156</v>
      </c>
      <c r="B123" s="92">
        <v>12046814</v>
      </c>
      <c r="C123" s="92">
        <v>19301</v>
      </c>
      <c r="D123" s="92">
        <v>45757</v>
      </c>
      <c r="E123" s="92">
        <v>4775</v>
      </c>
      <c r="F123" s="70">
        <v>12116647</v>
      </c>
      <c r="G123" s="104">
        <v>2.06E-2</v>
      </c>
      <c r="H123" s="58">
        <v>2.06E-2</v>
      </c>
      <c r="J123" s="105"/>
    </row>
    <row r="124" spans="1:10">
      <c r="A124" s="40" t="s">
        <v>157</v>
      </c>
      <c r="B124" s="92">
        <v>12244885</v>
      </c>
      <c r="C124" s="92">
        <v>19389</v>
      </c>
      <c r="D124" s="92">
        <v>45956</v>
      </c>
      <c r="E124" s="92">
        <v>4781</v>
      </c>
      <c r="F124" s="70">
        <v>12315011</v>
      </c>
      <c r="G124" s="104">
        <v>1.6400000000000001E-2</v>
      </c>
      <c r="H124" s="104">
        <v>3.73E-2</v>
      </c>
    </row>
    <row r="125" spans="1:10">
      <c r="A125" s="40" t="s">
        <v>159</v>
      </c>
      <c r="B125" s="92">
        <v>12590736</v>
      </c>
      <c r="C125" s="92">
        <v>19517</v>
      </c>
      <c r="D125" s="92">
        <v>46349</v>
      </c>
      <c r="E125" s="92">
        <v>4815</v>
      </c>
      <c r="F125" s="70">
        <v>12661417</v>
      </c>
      <c r="G125" s="104">
        <v>2.81E-2</v>
      </c>
      <c r="H125" s="104">
        <v>6.6500000000000004E-2</v>
      </c>
    </row>
    <row r="126" spans="1:10">
      <c r="A126" s="40"/>
      <c r="B126" s="92"/>
      <c r="C126" s="92"/>
      <c r="D126" s="92"/>
      <c r="E126" s="92"/>
      <c r="F126" s="70"/>
      <c r="G126" s="5"/>
      <c r="H126" s="5"/>
    </row>
    <row r="127" spans="1:10">
      <c r="A127" s="40"/>
      <c r="B127" s="92"/>
      <c r="C127" s="92"/>
      <c r="D127" s="92"/>
      <c r="E127" s="92"/>
      <c r="F127" s="70"/>
      <c r="G127" s="5"/>
      <c r="H127" s="5"/>
    </row>
    <row r="128" spans="1:10">
      <c r="A128" s="40"/>
      <c r="B128" s="92"/>
      <c r="C128" s="92"/>
      <c r="D128" s="92"/>
      <c r="E128" s="92"/>
      <c r="F128" s="70"/>
      <c r="G128" s="5"/>
      <c r="H128" s="5"/>
    </row>
    <row r="129" spans="1:8">
      <c r="A129" s="40"/>
      <c r="B129" s="92"/>
      <c r="C129" s="92"/>
      <c r="D129" s="92"/>
      <c r="E129" s="92"/>
      <c r="F129" s="70"/>
      <c r="G129" s="5"/>
      <c r="H129" s="5"/>
    </row>
    <row r="130" spans="1:8">
      <c r="A130" s="40"/>
      <c r="B130" s="92"/>
      <c r="C130" s="92"/>
      <c r="D130" s="92"/>
      <c r="E130" s="92"/>
      <c r="F130" s="70"/>
      <c r="G130" s="5"/>
      <c r="H130" s="5"/>
    </row>
    <row r="131" spans="1:8">
      <c r="A131" s="40"/>
      <c r="B131" s="92"/>
      <c r="C131" s="92"/>
      <c r="D131" s="92"/>
      <c r="E131" s="92"/>
      <c r="F131" s="70"/>
      <c r="G131" s="5"/>
      <c r="H131" s="5"/>
    </row>
    <row r="132" spans="1:8">
      <c r="A132" s="40"/>
      <c r="B132" s="92"/>
      <c r="C132" s="92"/>
      <c r="D132" s="92"/>
      <c r="E132" s="92"/>
      <c r="F132" s="70"/>
      <c r="G132" s="5"/>
      <c r="H132" s="5"/>
    </row>
    <row r="133" spans="1:8">
      <c r="A133" s="40"/>
      <c r="B133" s="92"/>
      <c r="C133" s="92"/>
      <c r="D133" s="92"/>
      <c r="E133" s="92"/>
      <c r="F133" s="70"/>
      <c r="G133" s="5"/>
      <c r="H133" s="5"/>
    </row>
    <row r="134" spans="1:8">
      <c r="A134" s="40"/>
      <c r="B134" s="92"/>
      <c r="C134" s="92"/>
      <c r="D134" s="92"/>
      <c r="E134" s="92"/>
      <c r="F134" s="70"/>
      <c r="G134" s="5"/>
      <c r="H134" s="5"/>
    </row>
  </sheetData>
  <mergeCells count="7">
    <mergeCell ref="A2:H2"/>
    <mergeCell ref="A3:H3"/>
    <mergeCell ref="A6:A7"/>
    <mergeCell ref="B6:C6"/>
    <mergeCell ref="D6:E6"/>
    <mergeCell ref="F6:F7"/>
    <mergeCell ref="G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2026-04-16T02:22:24Z</dcterms:modified>
</cp:coreProperties>
</file>